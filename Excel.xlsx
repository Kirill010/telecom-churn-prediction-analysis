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4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Down\"/>
    </mc:Choice>
  </mc:AlternateContent>
  <xr:revisionPtr revIDLastSave="0" documentId="13_ncr:1_{DC1DFB38-8E80-430A-9155-6A6FB64AE641}" xr6:coauthVersionLast="47" xr6:coauthVersionMax="47" xr10:uidLastSave="{00000000-0000-0000-0000-000000000000}"/>
  <bookViews>
    <workbookView xWindow="-108" yWindow="-108" windowWidth="41496" windowHeight="16776" tabRatio="819" activeTab="17" xr2:uid="{00000000-000D-0000-FFFF-FFFF00000000}"/>
  </bookViews>
  <sheets>
    <sheet name="Test1" sheetId="12" r:id="rId1"/>
    <sheet name="Test2" sheetId="1" r:id="rId2"/>
    <sheet name="Test3" sheetId="2" r:id="rId3"/>
    <sheet name="Test4" sheetId="8" r:id="rId4"/>
    <sheet name="Test5" sheetId="3" r:id="rId5"/>
    <sheet name="Test6" sheetId="4" r:id="rId6"/>
    <sheet name="Test7" sheetId="5" r:id="rId7"/>
    <sheet name="Test8" sheetId="6" r:id="rId8"/>
    <sheet name="Test9" sheetId="7" r:id="rId9"/>
    <sheet name="Test10" sheetId="9" r:id="rId10"/>
    <sheet name="Test11" sheetId="10" r:id="rId11"/>
    <sheet name="Test12" sheetId="11" r:id="rId12"/>
    <sheet name="Test13" sheetId="13" r:id="rId13"/>
    <sheet name="Test14" sheetId="14" r:id="rId14"/>
    <sheet name="Test15" sheetId="15" r:id="rId15"/>
    <sheet name="Test16" sheetId="16" r:id="rId16"/>
    <sheet name="Test17" sheetId="17" r:id="rId17"/>
    <sheet name="Test18" sheetId="18" r:id="rId18"/>
    <sheet name="Test19" sheetId="20" r:id="rId19"/>
    <sheet name="Test20" sheetId="19" r:id="rId20"/>
  </sheets>
  <definedNames>
    <definedName name="_xlnm._FilterDatabase" localSheetId="7" hidden="1">Test8!$A$1:$B$1</definedName>
    <definedName name="Shedule">Test4!#REF!</definedName>
    <definedName name="Tester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4" l="1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3" i="17"/>
  <c r="N3" i="17"/>
  <c r="B1" i="13"/>
  <c r="A20" i="15" a="1"/>
  <c r="A20" i="15" s="1"/>
  <c r="D1" i="11"/>
  <c r="B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1" i="11"/>
  <c r="AP2" i="6"/>
  <c r="K2" i="5"/>
  <c r="K2" i="4"/>
  <c r="B1" i="3" a="1"/>
  <c r="B1" i="3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1" i="1"/>
  <c r="K2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<sst xmlns="http://schemas.openxmlformats.org/spreadsheetml/2006/main" count="774" uniqueCount="279">
  <si>
    <t>Вика</t>
  </si>
  <si>
    <t>Гаврилова</t>
  </si>
  <si>
    <t>Елена</t>
  </si>
  <si>
    <t>Предположим, мы хотим объединить содержимое</t>
  </si>
  <si>
    <t>Гуреев</t>
  </si>
  <si>
    <t>Андрей</t>
  </si>
  <si>
    <t>ячеек в двух соседних столбцах, как это сделано</t>
  </si>
  <si>
    <t>Данилова</t>
  </si>
  <si>
    <t>Мария</t>
  </si>
  <si>
    <r>
      <t>для первой строки, для</t>
    </r>
    <r>
      <rPr>
        <b/>
        <i/>
        <sz val="10"/>
        <color indexed="10"/>
        <rFont val="Arial Cyr"/>
        <family val="2"/>
        <charset val="204"/>
      </rPr>
      <t xml:space="preserve"> ВСЕХ</t>
    </r>
    <r>
      <rPr>
        <b/>
        <i/>
        <sz val="10"/>
        <rFont val="Arial Cyr"/>
        <family val="2"/>
        <charset val="204"/>
      </rPr>
      <t xml:space="preserve"> остальных строк. </t>
    </r>
  </si>
  <si>
    <t>Дмитриева</t>
  </si>
  <si>
    <t>Ольга</t>
  </si>
  <si>
    <t>В MS Excel есть специальные возможности для этого.</t>
  </si>
  <si>
    <t>Карпенко</t>
  </si>
  <si>
    <t>Анастасия</t>
  </si>
  <si>
    <t>Климова</t>
  </si>
  <si>
    <t>Кулакова</t>
  </si>
  <si>
    <t>Лина</t>
  </si>
  <si>
    <t>При выполнении задания</t>
  </si>
  <si>
    <t>Машика</t>
  </si>
  <si>
    <t>Александр</t>
  </si>
  <si>
    <t>Не забудьте про пробел</t>
  </si>
  <si>
    <t>Минасян</t>
  </si>
  <si>
    <t>Артур</t>
  </si>
  <si>
    <t>Павлова</t>
  </si>
  <si>
    <t>Саша</t>
  </si>
  <si>
    <t>Сечкина</t>
  </si>
  <si>
    <t>Виктория</t>
  </si>
  <si>
    <t>Смирнова</t>
  </si>
  <si>
    <t>Ирина</t>
  </si>
  <si>
    <t>Соколова</t>
  </si>
  <si>
    <t>Филиппова</t>
  </si>
  <si>
    <t>Олеся</t>
  </si>
  <si>
    <t>Павленко</t>
  </si>
  <si>
    <t>Дмитрий</t>
  </si>
  <si>
    <t>Величко</t>
  </si>
  <si>
    <t>Волков</t>
  </si>
  <si>
    <t>Глухова</t>
  </si>
  <si>
    <t>Татьяна</t>
  </si>
  <si>
    <t>Дунаев</t>
  </si>
  <si>
    <t>Сергей</t>
  </si>
  <si>
    <t>Иванов</t>
  </si>
  <si>
    <t>Максим</t>
  </si>
  <si>
    <t>Киселева</t>
  </si>
  <si>
    <t>Светлана</t>
  </si>
  <si>
    <t>Костюков</t>
  </si>
  <si>
    <t>Морозова</t>
  </si>
  <si>
    <t>Наталия</t>
  </si>
  <si>
    <t>Оснач</t>
  </si>
  <si>
    <t>Евгений</t>
  </si>
  <si>
    <t>Подольский</t>
  </si>
  <si>
    <t>Николай</t>
  </si>
  <si>
    <t>Петр</t>
  </si>
  <si>
    <t>Репяков</t>
  </si>
  <si>
    <t>Янис</t>
  </si>
  <si>
    <t>Рублев</t>
  </si>
  <si>
    <t>Федорова</t>
  </si>
  <si>
    <t>Надежда</t>
  </si>
  <si>
    <t>Шаров</t>
  </si>
  <si>
    <t>Белоушка</t>
  </si>
  <si>
    <t>Марина</t>
  </si>
  <si>
    <t>Вальвач</t>
  </si>
  <si>
    <t>Ну а теперь попробуем решить обратную задачу.</t>
  </si>
  <si>
    <t>Расположите текст по столбцам так,</t>
  </si>
  <si>
    <t>чтобы в столбце А были фамилии,</t>
  </si>
  <si>
    <t>Используйте ячейку B1 и функции рабочего листа.</t>
  </si>
  <si>
    <t>192</t>
  </si>
  <si>
    <t>265</t>
  </si>
  <si>
    <t>456</t>
  </si>
  <si>
    <t>Дата</t>
  </si>
  <si>
    <t>Сумма</t>
  </si>
  <si>
    <t>20.02.01</t>
  </si>
  <si>
    <t>22.02.01</t>
  </si>
  <si>
    <t>В столбце A записаны даты финансовых операций,</t>
  </si>
  <si>
    <t>В столбце B - суммы, соответствующие этим датам.</t>
  </si>
  <si>
    <t>Предположим, мы хотим подсчитать общую сумму</t>
  </si>
  <si>
    <t>операций за определенную дату.</t>
  </si>
  <si>
    <t>Задание 10:</t>
  </si>
  <si>
    <t>Впишите в ячейку K2 данного листа сумму за 20.02.01</t>
  </si>
  <si>
    <t>по диапазону B2:B52, в виде числа!</t>
  </si>
  <si>
    <t>Предыдущее задание выполнялось в "свободной форме"</t>
  </si>
  <si>
    <t>Теперь мы слегка усложним его, введя дополнительные</t>
  </si>
  <si>
    <t>ограничения.</t>
  </si>
  <si>
    <r>
      <t xml:space="preserve">по диапазону B2:B52, в виде </t>
    </r>
    <r>
      <rPr>
        <b/>
        <i/>
        <sz val="10"/>
        <color indexed="10"/>
        <rFont val="Arial Cyr"/>
        <family val="2"/>
        <charset val="204"/>
      </rPr>
      <t>формулы</t>
    </r>
    <r>
      <rPr>
        <b/>
        <i/>
        <sz val="10"/>
        <rFont val="Arial Cyr"/>
        <family val="2"/>
        <charset val="204"/>
      </rPr>
      <t>!</t>
    </r>
  </si>
  <si>
    <t xml:space="preserve">Дополнительные ограничения: </t>
  </si>
  <si>
    <t>1. Не используйте формулу массива!</t>
  </si>
  <si>
    <t>2. Для проверки условия суммирования используйте</t>
  </si>
  <si>
    <r>
      <t xml:space="preserve">    ячейку </t>
    </r>
    <r>
      <rPr>
        <b/>
        <i/>
        <sz val="10"/>
        <color indexed="10"/>
        <rFont val="Arial Cyr"/>
        <family val="2"/>
        <charset val="204"/>
      </rPr>
      <t>A2!</t>
    </r>
  </si>
  <si>
    <t>Как и в предыдущем задании,</t>
  </si>
  <si>
    <t>в столбце A записаны даты финансовых операций,</t>
  </si>
  <si>
    <t>в столбце B - суммы, соответствующие этим датам.</t>
  </si>
  <si>
    <r>
      <t xml:space="preserve">Можем ли мы подсчитать </t>
    </r>
    <r>
      <rPr>
        <b/>
        <i/>
        <sz val="10"/>
        <color indexed="10"/>
        <rFont val="Arial Cyr"/>
        <family val="2"/>
        <charset val="204"/>
      </rPr>
      <t>число</t>
    </r>
    <r>
      <rPr>
        <b/>
        <i/>
        <sz val="10"/>
        <rFont val="Arial Cyr"/>
        <family val="2"/>
        <charset val="204"/>
      </rPr>
      <t xml:space="preserve"> операций</t>
    </r>
  </si>
  <si>
    <t xml:space="preserve"> за определенную дату?</t>
  </si>
  <si>
    <t>Задание 12:</t>
  </si>
  <si>
    <t>Впишите в ячейку K2 число операций за 20.02.01</t>
  </si>
  <si>
    <r>
      <t xml:space="preserve">по диапазону А2:B207, в виде </t>
    </r>
    <r>
      <rPr>
        <b/>
        <i/>
        <sz val="10"/>
        <color indexed="10"/>
        <rFont val="Arial Cyr"/>
        <family val="2"/>
        <charset val="204"/>
      </rPr>
      <t>числа</t>
    </r>
    <r>
      <rPr>
        <b/>
        <i/>
        <sz val="10"/>
        <rFont val="Arial Cyr"/>
        <family val="2"/>
        <charset val="204"/>
      </rPr>
      <t xml:space="preserve"> (не формулы!),</t>
    </r>
  </si>
  <si>
    <t>Подсказка:</t>
  </si>
  <si>
    <t xml:space="preserve">Тут не обойтись без формулы массивов. </t>
  </si>
  <si>
    <t>Если, конечно, не пытаться считать вручную.</t>
  </si>
  <si>
    <r>
      <t xml:space="preserve">Используйте суммирование единиц и ячейку </t>
    </r>
    <r>
      <rPr>
        <b/>
        <i/>
        <sz val="10"/>
        <color indexed="10"/>
        <rFont val="Arial Cyr"/>
        <family val="2"/>
        <charset val="204"/>
      </rPr>
      <t>А2</t>
    </r>
    <r>
      <rPr>
        <b/>
        <i/>
        <sz val="10"/>
        <rFont val="Arial Cyr"/>
        <family val="2"/>
        <charset val="204"/>
      </rPr>
      <t xml:space="preserve">, проверяя условие </t>
    </r>
  </si>
  <si>
    <t>суммирования с помощью одной из логических функций.</t>
  </si>
  <si>
    <t>22.02.02</t>
  </si>
  <si>
    <t>Иногда бывает нужно организовать суммирование с накоплением.</t>
  </si>
  <si>
    <t xml:space="preserve">Например, вводя число в первую ячейку, мы хотим, </t>
  </si>
  <si>
    <t>чтобы оно добавилось к содержимому второй ячейки</t>
  </si>
  <si>
    <t>и во второй ячейке отобразилась сумма.</t>
  </si>
  <si>
    <t>введите в ячейку К2 формулу рабочего листа, которая бы</t>
  </si>
  <si>
    <t xml:space="preserve">организовала суммирование с накоплением при </t>
  </si>
  <si>
    <t>вводе положительного числа в ячейку А2</t>
  </si>
  <si>
    <t>YU</t>
  </si>
  <si>
    <t xml:space="preserve">Используя ячейку B1 и функции рабочего листа, </t>
  </si>
  <si>
    <t>найдите минимальное значение в ряду чисел</t>
  </si>
  <si>
    <t>из диапазона A1:A20 исключая "0"</t>
  </si>
  <si>
    <t>Задание 2:</t>
  </si>
  <si>
    <t>Задание 4:</t>
  </si>
  <si>
    <t>Задание 6:</t>
  </si>
  <si>
    <t>Задание 7:</t>
  </si>
  <si>
    <t>Задание 15:</t>
  </si>
  <si>
    <t>13.43</t>
  </si>
  <si>
    <t>13.48</t>
  </si>
  <si>
    <t>Ручьи</t>
  </si>
  <si>
    <t>13.53</t>
  </si>
  <si>
    <t>Девяткино</t>
  </si>
  <si>
    <t>Лаврики</t>
  </si>
  <si>
    <t>14.16</t>
  </si>
  <si>
    <t>Пери</t>
  </si>
  <si>
    <t>Петяярви</t>
  </si>
  <si>
    <t>Суходолье</t>
  </si>
  <si>
    <t>Отрадное</t>
  </si>
  <si>
    <t>Мюллюпельто</t>
  </si>
  <si>
    <t>Синево</t>
  </si>
  <si>
    <t>Иногда при работе с таблицами приходится транспонировать таблицу, т.е.</t>
  </si>
  <si>
    <t>выполнять операцию, при которой строки превращаются в столбцы, а столбцы в строки.</t>
  </si>
  <si>
    <t>Иногда при работе с большими массивами чисел автоматический пересчет</t>
  </si>
  <si>
    <t>формул становится ненужным, так как мешает эффективной работе</t>
  </si>
  <si>
    <t>с таблицами.</t>
  </si>
  <si>
    <t>В этом случае удобно сначала ввести все необходимые новые данные</t>
  </si>
  <si>
    <t>и только потом произвести полный перерасчет, нажав на одну из клавиш.</t>
  </si>
  <si>
    <t>Отмените автоматический пересчет формул.</t>
  </si>
  <si>
    <t>Задание 9:</t>
  </si>
  <si>
    <t>56</t>
  </si>
  <si>
    <t>Иногда мы выполняем неправильные расчеты из-за того,</t>
  </si>
  <si>
    <t>что среди цифр попадаются текстовые переменные</t>
  </si>
  <si>
    <t>которые внешне от цифр не отличаются.</t>
  </si>
  <si>
    <t xml:space="preserve">Вообще говоря это происходит чаще всего из-за того, </t>
  </si>
  <si>
    <t>что мы поленились заранее определить формат ячейки.</t>
  </si>
  <si>
    <t>1. Используя функции рабочего листа и столбец В, проверьте,</t>
  </si>
  <si>
    <t>все ли числа столбца А являются действительно числами.</t>
  </si>
  <si>
    <r>
      <t xml:space="preserve">2. Введите количество найденных Вами </t>
    </r>
    <r>
      <rPr>
        <b/>
        <i/>
        <sz val="10"/>
        <color indexed="10"/>
        <rFont val="Arial Cyr"/>
        <family val="2"/>
        <charset val="204"/>
      </rPr>
      <t>НЕ</t>
    </r>
    <r>
      <rPr>
        <b/>
        <i/>
        <sz val="10"/>
        <rFont val="Arial Cyr"/>
        <family val="2"/>
        <charset val="204"/>
      </rPr>
      <t xml:space="preserve"> чисел в ячейку D2.</t>
    </r>
  </si>
  <si>
    <t>Иногда бывает нужно ограничить ввод данных</t>
  </si>
  <si>
    <t>в некоторые ячейки рабочего листа, для того, чтобы</t>
  </si>
  <si>
    <t>снизить вероятность ввода данных с ошибками.</t>
  </si>
  <si>
    <t>Установите ограничения на ввод информации</t>
  </si>
  <si>
    <t>в ячейку K2 данного листа так, чтобы можно было ввести</t>
  </si>
  <si>
    <t>только целые числа между 10 и 100.</t>
  </si>
  <si>
    <t>Ипполит Матвеевич Воробьянинов</t>
  </si>
  <si>
    <t>Иногда при работе с текстом нам требуется найти в нем</t>
  </si>
  <si>
    <t>какие-либо символы и определить, в какой позиции от начала</t>
  </si>
  <si>
    <t>они находятся.</t>
  </si>
  <si>
    <t>Определите положение (номер символа от начала)</t>
  </si>
  <si>
    <t>для первого пробела в ячейке A1.</t>
  </si>
  <si>
    <t>Ограничение и подсказка:</t>
  </si>
  <si>
    <t>Используйте ячейку B1 и функции рабочего листа,</t>
  </si>
  <si>
    <r>
      <t>НЕ</t>
    </r>
    <r>
      <rPr>
        <b/>
        <i/>
        <sz val="10"/>
        <rFont val="Arial Cyr"/>
        <family val="2"/>
        <charset val="204"/>
      </rPr>
      <t>чувствительные к регистру!</t>
    </r>
  </si>
  <si>
    <t>Задание 13</t>
  </si>
  <si>
    <t>какие-либо символы несколько раз и также</t>
  </si>
  <si>
    <t xml:space="preserve"> определить, в какой позиции от начала они находятся.</t>
  </si>
  <si>
    <t>для ВТОРОГО пробела в ячейке A1.</t>
  </si>
  <si>
    <t>Подсказка и ограничение:</t>
  </si>
  <si>
    <r>
      <t xml:space="preserve">В качестве аргумента </t>
    </r>
    <r>
      <rPr>
        <b/>
        <i/>
        <sz val="10"/>
        <color indexed="10"/>
        <rFont val="Arial Cyr"/>
        <family val="2"/>
        <charset val="204"/>
      </rPr>
      <t>Начальная позиция поиска</t>
    </r>
    <r>
      <rPr>
        <b/>
        <i/>
        <sz val="10"/>
        <rFont val="Arial Cyr"/>
        <family val="2"/>
        <charset val="204"/>
      </rPr>
      <t xml:space="preserve"> используйте </t>
    </r>
  </si>
  <si>
    <t>функцию поиска первого пробела +1.</t>
  </si>
  <si>
    <t>Задание 14</t>
  </si>
  <si>
    <t>дата</t>
  </si>
  <si>
    <t>код клиента</t>
  </si>
  <si>
    <t>страна</t>
  </si>
  <si>
    <t>минут</t>
  </si>
  <si>
    <t>тариф</t>
  </si>
  <si>
    <t>Иногда бывает нужно отфильтровать список</t>
  </si>
  <si>
    <t>США</t>
  </si>
  <si>
    <t>по критериям, которых нет в столбцах.</t>
  </si>
  <si>
    <t xml:space="preserve">Например, мы знаем, сколько минут </t>
  </si>
  <si>
    <t>говорил клиент,</t>
  </si>
  <si>
    <t>Германия</t>
  </si>
  <si>
    <t xml:space="preserve">и знаем цену одной минуты (тариф). </t>
  </si>
  <si>
    <t>1056</t>
  </si>
  <si>
    <t xml:space="preserve">А нам нужно составить список клиентов, которые </t>
  </si>
  <si>
    <t>1212</t>
  </si>
  <si>
    <t>задолжали больше какой-то определенной суммы.</t>
  </si>
  <si>
    <t>1210</t>
  </si>
  <si>
    <t>Франция</t>
  </si>
  <si>
    <t xml:space="preserve">Отфильтруйте список так, </t>
  </si>
  <si>
    <t xml:space="preserve">чтобы в нем остались </t>
  </si>
  <si>
    <t xml:space="preserve">только американские клиенты, сумма </t>
  </si>
  <si>
    <t>задолженности которых превышает 500.</t>
  </si>
  <si>
    <t xml:space="preserve">Отфильтрованный список разместите ниже </t>
  </si>
  <si>
    <t>исходного, начиная с ячейки А20</t>
  </si>
  <si>
    <t>Создать сводную таблицу на этом же листе</t>
  </si>
  <si>
    <t>Наименование клиента</t>
  </si>
  <si>
    <t>Иванова</t>
  </si>
  <si>
    <t>Петрова</t>
  </si>
  <si>
    <t>Сидорова</t>
  </si>
  <si>
    <t>Ручеек</t>
  </si>
  <si>
    <t>Капитол</t>
  </si>
  <si>
    <t>Кузьмолов</t>
  </si>
  <si>
    <t>Токсисоф</t>
  </si>
  <si>
    <t>Кавголов</t>
  </si>
  <si>
    <t>Осель</t>
  </si>
  <si>
    <t>Грузинов</t>
  </si>
  <si>
    <t>Васкелов</t>
  </si>
  <si>
    <t>Лемболов</t>
  </si>
  <si>
    <t>Орехов</t>
  </si>
  <si>
    <t>Сосновое</t>
  </si>
  <si>
    <t>Громов</t>
  </si>
  <si>
    <t>Лосев</t>
  </si>
  <si>
    <t>Приозерское</t>
  </si>
  <si>
    <t>Январь</t>
  </si>
  <si>
    <t>Февраль</t>
  </si>
  <si>
    <t>Март</t>
  </si>
  <si>
    <t>Апрель</t>
  </si>
  <si>
    <t>Май</t>
  </si>
  <si>
    <t>Июнь</t>
  </si>
  <si>
    <t>0.35</t>
  </si>
  <si>
    <t>с возможностью фильтрации за месяц и клиента</t>
  </si>
  <si>
    <t>в соответствии с предложенной таблицей</t>
  </si>
  <si>
    <t>Построить график продаж по месяцам</t>
  </si>
  <si>
    <t>Итого</t>
  </si>
  <si>
    <t>план</t>
  </si>
  <si>
    <t>факт</t>
  </si>
  <si>
    <t>Вывести итог план\факт по каждому клиенту.</t>
  </si>
  <si>
    <t xml:space="preserve">При написании формулы учесть, что в дальнейшем </t>
  </si>
  <si>
    <t>в таблицу возможна вставка столбцов с данными.</t>
  </si>
  <si>
    <t>End Sub</t>
  </si>
  <si>
    <t>Sub SetMonthName()</t>
  </si>
  <si>
    <t>Dim r As Range</t>
  </si>
  <si>
    <t>Set r = Selection</t>
  </si>
  <si>
    <t>Dim c As Range</t>
  </si>
  <si>
    <t>For Each c In r.Cells</t>
  </si>
  <si>
    <t>c.Value = MonthName(c.Value)</t>
  </si>
  <si>
    <t>Next</t>
  </si>
  <si>
    <t>Отметьте строки в которых объявляются переменые</t>
  </si>
  <si>
    <t>Введите рабочий вариант функции</t>
  </si>
  <si>
    <t>Задание 1:</t>
  </si>
  <si>
    <t>Задание 3:</t>
  </si>
  <si>
    <t>исключая отрицательные значения</t>
  </si>
  <si>
    <t>Задание 5</t>
  </si>
  <si>
    <t>Задание 8:</t>
  </si>
  <si>
    <t>Вставьте на данный лист значения из задания 4</t>
  </si>
  <si>
    <t>но так, чтобы наименования клиентов были расположены в строке 1 (возмите первые 5 клиентов).</t>
  </si>
  <si>
    <t>Задание 11:</t>
  </si>
  <si>
    <t>Задание 16:</t>
  </si>
  <si>
    <t>Задание 17:</t>
  </si>
  <si>
    <t>Задание 18:</t>
  </si>
  <si>
    <t>Задание 19:</t>
  </si>
  <si>
    <t>Задание 20:</t>
  </si>
  <si>
    <t>в столбце В - имена, а в столбце С - отчества</t>
  </si>
  <si>
    <t>В ячейке A1 должна быть надпись "Наименование клиента", в B1 - "Иванова" и т.д.</t>
  </si>
  <si>
    <r>
      <t>Соответственно цифры за</t>
    </r>
    <r>
      <rPr>
        <b/>
        <i/>
        <sz val="10"/>
        <color indexed="10"/>
        <rFont val="Arial Cyr"/>
        <charset val="204"/>
      </rPr>
      <t xml:space="preserve"> Январь</t>
    </r>
    <r>
      <rPr>
        <b/>
        <i/>
        <sz val="10"/>
        <rFont val="Arial Cyr"/>
        <family val="2"/>
        <charset val="204"/>
      </rPr>
      <t xml:space="preserve"> месяц должно разместиться в строке 2.</t>
    </r>
  </si>
  <si>
    <t>В ячейку E4 написать макрос заливающий область А4:С12 красным цветом</t>
  </si>
  <si>
    <t>Андреевна</t>
  </si>
  <si>
    <t>Викторовна</t>
  </si>
  <si>
    <t>Валерьевич</t>
  </si>
  <si>
    <t>Николаевна</t>
  </si>
  <si>
    <t>Сергеевна</t>
  </si>
  <si>
    <t>Александровна</t>
  </si>
  <si>
    <t>Олеговна</t>
  </si>
  <si>
    <t>Дмитриевич</t>
  </si>
  <si>
    <t>Максимович</t>
  </si>
  <si>
    <t>Евгеньевна</t>
  </si>
  <si>
    <t>Александрвна</t>
  </si>
  <si>
    <t>Павлович</t>
  </si>
  <si>
    <t>Николаевич</t>
  </si>
  <si>
    <t>Викторович</t>
  </si>
  <si>
    <t>Дмитриевна</t>
  </si>
  <si>
    <t>Максимовна</t>
  </si>
  <si>
    <t>Александрович</t>
  </si>
  <si>
    <t>Адреевич</t>
  </si>
  <si>
    <t>Маркович</t>
  </si>
  <si>
    <t>Алексеевна</t>
  </si>
  <si>
    <t>красный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</si>
</sst>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17">
    <font>
      <sz val="11"/>
      <color indexed="8"/>
      <name val="Calibri"/>
      <family val="2"/>
      <charset val="204"/>
    </font>
    <font>
      <sz val="10"/>
      <name val="Arial Cyr"/>
      <charset val="204"/>
    </font>
    <font>
      <u/>
      <sz val="10"/>
      <color indexed="12"/>
      <name val="Arial Cyr"/>
      <charset val="204"/>
    </font>
    <font>
      <b/>
      <sz val="10"/>
      <name val="Arial Cyr"/>
      <charset val="204"/>
    </font>
    <font>
      <b/>
      <i/>
      <sz val="10"/>
      <name val="Arial Cyr"/>
      <family val="2"/>
      <charset val="204"/>
    </font>
    <font>
      <b/>
      <i/>
      <sz val="12"/>
      <color indexed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2"/>
      <name val="Arial Cyr"/>
      <family val="2"/>
      <charset val="204"/>
    </font>
    <font>
      <b/>
      <i/>
      <sz val="10"/>
      <color indexed="10"/>
      <name val="Arial Cyr"/>
      <family val="2"/>
      <charset val="204"/>
    </font>
    <font>
      <b/>
      <i/>
      <sz val="10"/>
      <color indexed="12"/>
      <name val="Arial Cyr"/>
      <family val="2"/>
      <charset val="204"/>
    </font>
    <font>
      <sz val="10"/>
      <color indexed="62"/>
      <name val="Arial Cyr"/>
      <family val="2"/>
      <charset val="204"/>
    </font>
    <font>
      <u/>
      <sz val="10"/>
      <name val="Arial Cyr"/>
      <charset val="204"/>
    </font>
    <font>
      <sz val="11"/>
      <name val="Calibri"/>
      <family val="2"/>
      <charset val="204"/>
    </font>
    <font>
      <sz val="10"/>
      <color indexed="8"/>
      <name val="Arial Unicode MS"/>
      <family val="2"/>
      <charset val="204"/>
    </font>
    <font>
      <b/>
      <sz val="11"/>
      <color indexed="8"/>
      <name val="Arial"/>
      <family val="2"/>
      <charset val="204"/>
    </font>
    <font>
      <b/>
      <i/>
      <sz val="10"/>
      <color indexed="10"/>
      <name val="Arial Cyr"/>
      <charset val="204"/>
    </font>
    <font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12">
    <xf numFmtId="0" fontId="0" fillId="0" borderId="0" xfId="0"/>
    <xf numFmtId="0" fontId="1" fillId="2" borderId="0" xfId="2" applyFill="1"/>
    <xf numFmtId="0" fontId="0" fillId="2" borderId="0" xfId="0" applyFill="1"/>
    <xf numFmtId="0" fontId="4" fillId="2" borderId="0" xfId="2" applyFont="1" applyFill="1"/>
    <xf numFmtId="21" fontId="1" fillId="2" borderId="0" xfId="2" applyNumberFormat="1" applyFill="1" applyProtection="1">
      <protection locked="0"/>
    </xf>
    <xf numFmtId="1" fontId="1" fillId="3" borderId="1" xfId="2" applyNumberFormat="1" applyFill="1" applyBorder="1" applyProtection="1">
      <protection locked="0"/>
    </xf>
    <xf numFmtId="0" fontId="1" fillId="3" borderId="1" xfId="2" applyFill="1" applyBorder="1" applyProtection="1">
      <protection locked="0"/>
    </xf>
    <xf numFmtId="0" fontId="5" fillId="2" borderId="0" xfId="2" applyFont="1" applyFill="1"/>
    <xf numFmtId="21" fontId="6" fillId="2" borderId="0" xfId="2" applyNumberFormat="1" applyFont="1" applyFill="1" applyProtection="1">
      <protection locked="0"/>
    </xf>
    <xf numFmtId="0" fontId="1" fillId="2" borderId="0" xfId="2" applyFill="1" applyProtection="1">
      <protection locked="0"/>
    </xf>
    <xf numFmtId="1" fontId="6" fillId="3" borderId="1" xfId="2" applyNumberFormat="1" applyFont="1" applyFill="1" applyBorder="1" applyProtection="1">
      <protection locked="0"/>
    </xf>
    <xf numFmtId="0" fontId="6" fillId="3" borderId="2" xfId="2" applyFont="1" applyFill="1" applyBorder="1" applyProtection="1">
      <protection locked="0"/>
    </xf>
    <xf numFmtId="0" fontId="6" fillId="3" borderId="1" xfId="2" applyFont="1" applyFill="1" applyBorder="1" applyAlignment="1" applyProtection="1">
      <alignment horizontal="left"/>
      <protection locked="0"/>
    </xf>
    <xf numFmtId="0" fontId="6" fillId="3" borderId="1" xfId="2" applyFont="1" applyFill="1" applyBorder="1" applyProtection="1">
      <protection locked="0"/>
    </xf>
    <xf numFmtId="49" fontId="1" fillId="2" borderId="0" xfId="2" applyNumberFormat="1" applyFill="1" applyAlignment="1">
      <alignment horizontal="right"/>
    </xf>
    <xf numFmtId="0" fontId="1" fillId="2" borderId="0" xfId="2" applyFill="1" applyAlignment="1">
      <alignment horizontal="right"/>
    </xf>
    <xf numFmtId="0" fontId="1" fillId="3" borderId="3" xfId="2" applyFill="1" applyBorder="1" applyProtection="1">
      <protection locked="0"/>
    </xf>
    <xf numFmtId="0" fontId="1" fillId="0" borderId="0" xfId="2"/>
    <xf numFmtId="2" fontId="1" fillId="0" borderId="0" xfId="2" applyNumberFormat="1"/>
    <xf numFmtId="0" fontId="1" fillId="4" borderId="0" xfId="2" applyFill="1"/>
    <xf numFmtId="0" fontId="1" fillId="5" borderId="3" xfId="2" applyFill="1" applyBorder="1" applyProtection="1">
      <protection locked="0"/>
    </xf>
    <xf numFmtId="0" fontId="4" fillId="4" borderId="0" xfId="2" applyFont="1" applyFill="1"/>
    <xf numFmtId="21" fontId="6" fillId="4" borderId="0" xfId="2" applyNumberFormat="1" applyFont="1" applyFill="1" applyProtection="1">
      <protection locked="0"/>
    </xf>
    <xf numFmtId="164" fontId="1" fillId="5" borderId="1" xfId="2" applyNumberFormat="1" applyFill="1" applyBorder="1" applyProtection="1">
      <protection locked="0"/>
    </xf>
    <xf numFmtId="2" fontId="1" fillId="5" borderId="1" xfId="2" applyNumberFormat="1" applyFill="1" applyBorder="1" applyProtection="1">
      <protection locked="0"/>
    </xf>
    <xf numFmtId="2" fontId="1" fillId="5" borderId="4" xfId="2" applyNumberFormat="1" applyFill="1" applyBorder="1" applyProtection="1">
      <protection locked="0"/>
    </xf>
    <xf numFmtId="164" fontId="1" fillId="4" borderId="0" xfId="2" applyNumberFormat="1" applyFill="1"/>
    <xf numFmtId="0" fontId="9" fillId="4" borderId="0" xfId="2" applyFont="1" applyFill="1"/>
    <xf numFmtId="0" fontId="1" fillId="4" borderId="0" xfId="2" applyFill="1" applyAlignment="1">
      <alignment horizontal="left"/>
    </xf>
    <xf numFmtId="0" fontId="10" fillId="4" borderId="0" xfId="2" applyFont="1" applyFill="1"/>
    <xf numFmtId="0" fontId="1" fillId="4" borderId="0" xfId="2" applyFill="1" applyProtection="1">
      <protection locked="0"/>
    </xf>
    <xf numFmtId="0" fontId="7" fillId="4" borderId="0" xfId="2" applyFont="1" applyFill="1" applyProtection="1">
      <protection locked="0"/>
    </xf>
    <xf numFmtId="164" fontId="7" fillId="4" borderId="0" xfId="2" applyNumberFormat="1" applyFont="1" applyFill="1" applyProtection="1">
      <protection locked="0"/>
    </xf>
    <xf numFmtId="14" fontId="1" fillId="4" borderId="1" xfId="2" applyNumberFormat="1" applyFill="1" applyBorder="1" applyAlignment="1" applyProtection="1">
      <alignment horizontal="left"/>
      <protection locked="0"/>
    </xf>
    <xf numFmtId="2" fontId="1" fillId="4" borderId="4" xfId="2" applyNumberFormat="1" applyFill="1" applyBorder="1" applyProtection="1">
      <protection locked="0"/>
    </xf>
    <xf numFmtId="2" fontId="1" fillId="4" borderId="1" xfId="2" applyNumberFormat="1" applyFill="1" applyBorder="1" applyProtection="1">
      <protection locked="0"/>
    </xf>
    <xf numFmtId="14" fontId="1" fillId="4" borderId="0" xfId="2" applyNumberFormat="1" applyFill="1" applyAlignment="1">
      <alignment horizontal="left"/>
    </xf>
    <xf numFmtId="2" fontId="1" fillId="4" borderId="0" xfId="2" applyNumberFormat="1" applyFill="1"/>
    <xf numFmtId="0" fontId="7" fillId="2" borderId="0" xfId="2" applyFont="1" applyFill="1"/>
    <xf numFmtId="21" fontId="7" fillId="2" borderId="0" xfId="2" applyNumberFormat="1" applyFont="1" applyFill="1"/>
    <xf numFmtId="49" fontId="7" fillId="2" borderId="0" xfId="2" applyNumberFormat="1" applyFont="1" applyFill="1"/>
    <xf numFmtId="0" fontId="5" fillId="4" borderId="0" xfId="2" applyFont="1" applyFill="1"/>
    <xf numFmtId="0" fontId="0" fillId="3" borderId="1" xfId="0" applyFill="1" applyBorder="1"/>
    <xf numFmtId="0" fontId="12" fillId="2" borderId="0" xfId="0" applyFont="1" applyFill="1"/>
    <xf numFmtId="0" fontId="3" fillId="2" borderId="0" xfId="2" applyFont="1" applyFill="1" applyAlignment="1">
      <alignment horizontal="center" vertical="center" wrapText="1"/>
    </xf>
    <xf numFmtId="0" fontId="1" fillId="2" borderId="0" xfId="2" applyFill="1" applyAlignment="1">
      <alignment wrapText="1"/>
    </xf>
    <xf numFmtId="0" fontId="3" fillId="2" borderId="0" xfId="2" applyFont="1" applyFill="1"/>
    <xf numFmtId="0" fontId="11" fillId="2" borderId="0" xfId="1" applyFont="1" applyFill="1" applyAlignment="1" applyProtection="1"/>
    <xf numFmtId="0" fontId="1" fillId="3" borderId="5" xfId="2" applyFill="1" applyBorder="1" applyProtection="1">
      <protection locked="0"/>
    </xf>
    <xf numFmtId="0" fontId="7" fillId="2" borderId="0" xfId="2" applyFont="1" applyFill="1" applyProtection="1">
      <protection locked="0"/>
    </xf>
    <xf numFmtId="21" fontId="7" fillId="2" borderId="0" xfId="2" applyNumberFormat="1" applyFont="1" applyFill="1" applyProtection="1">
      <protection locked="0"/>
    </xf>
    <xf numFmtId="49" fontId="7" fillId="2" borderId="0" xfId="2" applyNumberFormat="1" applyFont="1" applyFill="1" applyProtection="1">
      <protection locked="0"/>
    </xf>
    <xf numFmtId="0" fontId="9" fillId="2" borderId="0" xfId="2" applyFont="1" applyFill="1"/>
    <xf numFmtId="0" fontId="8" fillId="2" borderId="0" xfId="2" applyFont="1" applyFill="1"/>
    <xf numFmtId="0" fontId="1" fillId="5" borderId="1" xfId="2" applyFill="1" applyBorder="1" applyProtection="1">
      <protection locked="0"/>
    </xf>
    <xf numFmtId="14" fontId="1" fillId="5" borderId="1" xfId="2" applyNumberFormat="1" applyFill="1" applyBorder="1" applyProtection="1">
      <protection locked="0"/>
    </xf>
    <xf numFmtId="49" fontId="1" fillId="5" borderId="1" xfId="2" applyNumberFormat="1" applyFill="1" applyBorder="1" applyAlignment="1" applyProtection="1">
      <alignment horizontal="right"/>
      <protection locked="0"/>
    </xf>
    <xf numFmtId="1" fontId="1" fillId="5" borderId="1" xfId="2" applyNumberFormat="1" applyFill="1" applyBorder="1" applyProtection="1">
      <protection locked="0"/>
    </xf>
    <xf numFmtId="14" fontId="1" fillId="5" borderId="1" xfId="2" applyNumberFormat="1" applyFill="1" applyBorder="1"/>
    <xf numFmtId="49" fontId="1" fillId="5" borderId="1" xfId="2" applyNumberFormat="1" applyFill="1" applyBorder="1" applyAlignment="1">
      <alignment horizontal="left" wrapText="1"/>
    </xf>
    <xf numFmtId="0" fontId="1" fillId="5" borderId="1" xfId="2" applyFill="1" applyBorder="1"/>
    <xf numFmtId="14" fontId="1" fillId="4" borderId="1" xfId="2" applyNumberFormat="1" applyFill="1" applyBorder="1"/>
    <xf numFmtId="49" fontId="1" fillId="4" borderId="1" xfId="2" applyNumberFormat="1" applyFill="1" applyBorder="1" applyAlignment="1">
      <alignment horizontal="right" wrapText="1"/>
    </xf>
    <xf numFmtId="0" fontId="1" fillId="4" borderId="1" xfId="2" applyFill="1" applyBorder="1"/>
    <xf numFmtId="49" fontId="1" fillId="4" borderId="1" xfId="2" applyNumberFormat="1" applyFill="1" applyBorder="1" applyAlignment="1">
      <alignment horizontal="right"/>
    </xf>
    <xf numFmtId="1" fontId="1" fillId="4" borderId="1" xfId="2" applyNumberFormat="1" applyFill="1" applyBorder="1"/>
    <xf numFmtId="49" fontId="1" fillId="5" borderId="1" xfId="2" applyNumberFormat="1" applyFill="1" applyBorder="1" applyAlignment="1">
      <alignment horizontal="right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3" fillId="2" borderId="0" xfId="0" applyFont="1" applyFill="1" applyAlignment="1">
      <alignment horizontal="left" indent="2"/>
    </xf>
    <xf numFmtId="0" fontId="13" fillId="2" borderId="0" xfId="0" applyFont="1" applyFill="1"/>
    <xf numFmtId="0" fontId="14" fillId="2" borderId="0" xfId="0" applyFont="1" applyFill="1" applyAlignment="1">
      <alignment horizontal="left" vertical="top" wrapText="1"/>
    </xf>
    <xf numFmtId="49" fontId="1" fillId="6" borderId="14" xfId="2" applyNumberFormat="1" applyFill="1" applyBorder="1" applyAlignment="1">
      <alignment wrapText="1"/>
    </xf>
    <xf numFmtId="4" fontId="1" fillId="6" borderId="14" xfId="2" applyNumberFormat="1" applyFill="1" applyBorder="1" applyAlignment="1">
      <alignment horizontal="right" wrapText="1"/>
    </xf>
    <xf numFmtId="49" fontId="1" fillId="6" borderId="15" xfId="2" applyNumberFormat="1" applyFill="1" applyBorder="1" applyAlignment="1">
      <alignment wrapText="1"/>
    </xf>
    <xf numFmtId="4" fontId="1" fillId="6" borderId="15" xfId="2" applyNumberFormat="1" applyFill="1" applyBorder="1" applyAlignment="1">
      <alignment horizontal="right" wrapText="1"/>
    </xf>
    <xf numFmtId="49" fontId="1" fillId="6" borderId="1" xfId="2" applyNumberFormat="1" applyFill="1" applyBorder="1"/>
    <xf numFmtId="49" fontId="1" fillId="6" borderId="1" xfId="2" applyNumberFormat="1" applyFill="1" applyBorder="1" applyAlignment="1">
      <alignment horizontal="right"/>
    </xf>
    <xf numFmtId="0" fontId="0" fillId="4" borderId="0" xfId="0" applyFill="1"/>
    <xf numFmtId="3" fontId="1" fillId="2" borderId="1" xfId="2" applyNumberFormat="1" applyFill="1" applyBorder="1"/>
    <xf numFmtId="3" fontId="1" fillId="2" borderId="1" xfId="2" applyNumberFormat="1" applyFill="1" applyBorder="1" applyAlignment="1">
      <alignment horizontal="right"/>
    </xf>
    <xf numFmtId="49" fontId="1" fillId="4" borderId="1" xfId="2" applyNumberFormat="1" applyFill="1" applyBorder="1"/>
    <xf numFmtId="49" fontId="1" fillId="4" borderId="15" xfId="2" applyNumberFormat="1" applyFill="1" applyBorder="1" applyAlignment="1">
      <alignment wrapText="1"/>
    </xf>
    <xf numFmtId="2" fontId="1" fillId="4" borderId="15" xfId="2" applyNumberFormat="1" applyFill="1" applyBorder="1" applyAlignment="1">
      <alignment horizontal="right" wrapText="1"/>
    </xf>
    <xf numFmtId="49" fontId="1" fillId="4" borderId="14" xfId="2" applyNumberFormat="1" applyFill="1" applyBorder="1" applyAlignment="1">
      <alignment wrapText="1"/>
    </xf>
    <xf numFmtId="2" fontId="1" fillId="4" borderId="14" xfId="2" applyNumberFormat="1" applyFill="1" applyBorder="1" applyAlignment="1">
      <alignment horizontal="right" wrapText="1"/>
    </xf>
    <xf numFmtId="0" fontId="12" fillId="4" borderId="1" xfId="0" applyFont="1" applyFill="1" applyBorder="1" applyAlignment="1">
      <alignment horizontal="center"/>
    </xf>
    <xf numFmtId="0" fontId="0" fillId="7" borderId="1" xfId="0" applyFill="1" applyBorder="1" applyAlignment="1" applyProtection="1">
      <alignment horizontal="center"/>
      <protection locked="0"/>
    </xf>
    <xf numFmtId="0" fontId="0" fillId="7" borderId="1" xfId="0" applyFill="1" applyBorder="1" applyAlignment="1">
      <alignment horizontal="center"/>
    </xf>
    <xf numFmtId="49" fontId="1" fillId="4" borderId="16" xfId="2" applyNumberFormat="1" applyFill="1" applyBorder="1" applyAlignment="1">
      <alignment wrapText="1"/>
    </xf>
    <xf numFmtId="49" fontId="1" fillId="4" borderId="17" xfId="2" applyNumberFormat="1" applyFill="1" applyBorder="1" applyAlignment="1">
      <alignment wrapText="1"/>
    </xf>
    <xf numFmtId="0" fontId="0" fillId="2" borderId="0" xfId="0" applyFill="1" applyAlignment="1">
      <alignment horizontal="center"/>
    </xf>
    <xf numFmtId="2" fontId="1" fillId="5" borderId="3" xfId="2" applyNumberFormat="1" applyFill="1" applyBorder="1" applyProtection="1">
      <protection locked="0"/>
    </xf>
    <xf numFmtId="3" fontId="1" fillId="3" borderId="18" xfId="2" applyNumberFormat="1" applyFill="1" applyBorder="1" applyProtection="1">
      <protection locked="0"/>
    </xf>
    <xf numFmtId="49" fontId="1" fillId="5" borderId="1" xfId="2" applyNumberFormat="1" applyFill="1" applyBorder="1" applyAlignment="1" applyProtection="1">
      <alignment horizontal="left" wrapText="1"/>
      <protection locked="0"/>
    </xf>
    <xf numFmtId="14" fontId="1" fillId="4" borderId="1" xfId="2" applyNumberFormat="1" applyFill="1" applyBorder="1" applyProtection="1">
      <protection locked="0"/>
    </xf>
    <xf numFmtId="49" fontId="1" fillId="4" borderId="1" xfId="2" applyNumberFormat="1" applyFill="1" applyBorder="1" applyAlignment="1" applyProtection="1">
      <alignment horizontal="right" wrapText="1"/>
      <protection locked="0"/>
    </xf>
    <xf numFmtId="0" fontId="1" fillId="4" borderId="1" xfId="2" applyFill="1" applyBorder="1" applyProtection="1">
      <protection locked="0"/>
    </xf>
    <xf numFmtId="49" fontId="1" fillId="4" borderId="1" xfId="2" applyNumberFormat="1" applyFill="1" applyBorder="1" applyAlignment="1" applyProtection="1">
      <alignment horizontal="right"/>
      <protection locked="0"/>
    </xf>
    <xf numFmtId="1" fontId="1" fillId="4" borderId="1" xfId="2" applyNumberFormat="1" applyFill="1" applyBorder="1" applyProtection="1">
      <protection locked="0"/>
    </xf>
    <xf numFmtId="0" fontId="0" fillId="0" borderId="1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14" fontId="12" fillId="4" borderId="4" xfId="0" applyNumberFormat="1" applyFont="1" applyFill="1" applyBorder="1" applyAlignment="1">
      <alignment horizontal="center"/>
    </xf>
    <xf numFmtId="14" fontId="12" fillId="4" borderId="20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3">
    <cellStyle name="Гиперссылка" xfId="1" builtinId="8"/>
    <cellStyle name="Обычный" xfId="0" builtinId="0"/>
    <cellStyle name="Обычный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продаж по месяцам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Test16!$A$2</c:f>
              <c:strCache>
                <c:ptCount val="1"/>
                <c:pt idx="0">
                  <c:v>Иванова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Test16!$B$2:$G$2</c:f>
              <c:numCache>
                <c:formatCode>0.00</c:formatCode>
                <c:ptCount val="6"/>
                <c:pt idx="0">
                  <c:v>95</c:v>
                </c:pt>
                <c:pt idx="1">
                  <c:v>12</c:v>
                </c:pt>
                <c:pt idx="2">
                  <c:v>12</c:v>
                </c:pt>
                <c:pt idx="3">
                  <c:v>6</c:v>
                </c:pt>
                <c:pt idx="4">
                  <c:v>3</c:v>
                </c:pt>
                <c:pt idx="5">
                  <c:v>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0-41D9-9F89-2A074777C75A}"/>
            </c:ext>
          </c:extLst>
        </c:ser>
        <c:ser>
          <c:idx val="1"/>
          <c:order val="1"/>
          <c:tx>
            <c:strRef>
              <c:f>Test16!$A$3</c:f>
              <c:strCache>
                <c:ptCount val="1"/>
                <c:pt idx="0">
                  <c:v>Петрова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Test16!$B$3:$G$3</c:f>
              <c:numCache>
                <c:formatCode>0.00</c:formatCode>
                <c:ptCount val="6"/>
                <c:pt idx="0">
                  <c:v>65</c:v>
                </c:pt>
                <c:pt idx="1">
                  <c:v>35</c:v>
                </c:pt>
                <c:pt idx="2">
                  <c:v>64</c:v>
                </c:pt>
                <c:pt idx="3">
                  <c:v>4</c:v>
                </c:pt>
                <c:pt idx="4">
                  <c:v>8</c:v>
                </c:pt>
                <c:pt idx="5">
                  <c:v>13.43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10-41D9-9F89-2A074777C75A}"/>
            </c:ext>
          </c:extLst>
        </c:ser>
        <c:ser>
          <c:idx val="2"/>
          <c:order val="2"/>
          <c:tx>
            <c:strRef>
              <c:f>Test16!$A$4</c:f>
              <c:strCache>
                <c:ptCount val="1"/>
                <c:pt idx="0">
                  <c:v>Сидорова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Test16!$B$4:$G$4</c:f>
              <c:numCache>
                <c:formatCode>0.00</c:formatCode>
                <c:ptCount val="6"/>
                <c:pt idx="0">
                  <c:v>12</c:v>
                </c:pt>
                <c:pt idx="1">
                  <c:v>-12</c:v>
                </c:pt>
                <c:pt idx="2">
                  <c:v>32</c:v>
                </c:pt>
                <c:pt idx="3">
                  <c:v>8</c:v>
                </c:pt>
                <c:pt idx="4">
                  <c:v>35</c:v>
                </c:pt>
                <c:pt idx="5">
                  <c:v>13.48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10-41D9-9F89-2A074777C75A}"/>
            </c:ext>
          </c:extLst>
        </c:ser>
        <c:ser>
          <c:idx val="3"/>
          <c:order val="3"/>
          <c:tx>
            <c:strRef>
              <c:f>Test16!$A$5</c:f>
              <c:strCache>
                <c:ptCount val="1"/>
                <c:pt idx="0">
                  <c:v>Ручьи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Test16!$B$5:$G$5</c:f>
              <c:numCache>
                <c:formatCode>0.00</c:formatCode>
                <c:ptCount val="6"/>
                <c:pt idx="0">
                  <c:v>0</c:v>
                </c:pt>
                <c:pt idx="1">
                  <c:v>75</c:v>
                </c:pt>
                <c:pt idx="2">
                  <c:v>94</c:v>
                </c:pt>
                <c:pt idx="3">
                  <c:v>1</c:v>
                </c:pt>
                <c:pt idx="4">
                  <c:v>6</c:v>
                </c:pt>
                <c:pt idx="5">
                  <c:v>13.53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10-41D9-9F89-2A074777C75A}"/>
            </c:ext>
          </c:extLst>
        </c:ser>
        <c:ser>
          <c:idx val="4"/>
          <c:order val="4"/>
          <c:tx>
            <c:strRef>
              <c:f>Test16!$A$6</c:f>
              <c:strCache>
                <c:ptCount val="1"/>
                <c:pt idx="0">
                  <c:v>Ручеек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Test16!$B$6:$G$6</c:f>
              <c:numCache>
                <c:formatCode>0.00</c:formatCode>
                <c:ptCount val="6"/>
                <c:pt idx="0">
                  <c:v>49</c:v>
                </c:pt>
                <c:pt idx="1">
                  <c:v>12</c:v>
                </c:pt>
                <c:pt idx="2">
                  <c:v>65</c:v>
                </c:pt>
                <c:pt idx="3">
                  <c:v>3</c:v>
                </c:pt>
                <c:pt idx="4">
                  <c:v>2</c:v>
                </c:pt>
                <c:pt idx="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10-41D9-9F89-2A074777C75A}"/>
            </c:ext>
          </c:extLst>
        </c:ser>
        <c:ser>
          <c:idx val="5"/>
          <c:order val="5"/>
          <c:tx>
            <c:strRef>
              <c:f>Test16!$A$7</c:f>
              <c:strCache>
                <c:ptCount val="1"/>
                <c:pt idx="0">
                  <c:v>Девяткино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Test16!$B$7:$G$7</c:f>
              <c:numCache>
                <c:formatCode>0.00</c:formatCode>
                <c:ptCount val="6"/>
                <c:pt idx="0">
                  <c:v>65</c:v>
                </c:pt>
                <c:pt idx="1">
                  <c:v>35</c:v>
                </c:pt>
                <c:pt idx="2">
                  <c:v>12</c:v>
                </c:pt>
                <c:pt idx="3">
                  <c:v>8</c:v>
                </c:pt>
                <c:pt idx="4">
                  <c:v>75</c:v>
                </c:pt>
                <c:pt idx="5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10-41D9-9F89-2A074777C75A}"/>
            </c:ext>
          </c:extLst>
        </c:ser>
        <c:ser>
          <c:idx val="6"/>
          <c:order val="6"/>
          <c:tx>
            <c:strRef>
              <c:f>Test16!$A$8</c:f>
              <c:strCache>
                <c:ptCount val="1"/>
                <c:pt idx="0">
                  <c:v>Лаврики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Test16!$B$8:$G$8</c:f>
              <c:numCache>
                <c:formatCode>0.00</c:formatCode>
                <c:ptCount val="6"/>
                <c:pt idx="0">
                  <c:v>5</c:v>
                </c:pt>
                <c:pt idx="1">
                  <c:v>64</c:v>
                </c:pt>
                <c:pt idx="2">
                  <c:v>64</c:v>
                </c:pt>
                <c:pt idx="3">
                  <c:v>35</c:v>
                </c:pt>
                <c:pt idx="4">
                  <c:v>3</c:v>
                </c:pt>
                <c:pt idx="5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10-41D9-9F89-2A074777C75A}"/>
            </c:ext>
          </c:extLst>
        </c:ser>
        <c:ser>
          <c:idx val="7"/>
          <c:order val="7"/>
          <c:tx>
            <c:strRef>
              <c:f>Test16!$A$9</c:f>
              <c:strCache>
                <c:ptCount val="1"/>
                <c:pt idx="0">
                  <c:v>Капитол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Test16!$B$9:$G$9</c:f>
              <c:numCache>
                <c:formatCode>0.00</c:formatCode>
                <c:ptCount val="6"/>
                <c:pt idx="0">
                  <c:v>95</c:v>
                </c:pt>
                <c:pt idx="1">
                  <c:v>75</c:v>
                </c:pt>
                <c:pt idx="2">
                  <c:v>32</c:v>
                </c:pt>
                <c:pt idx="3">
                  <c:v>-12</c:v>
                </c:pt>
                <c:pt idx="4">
                  <c:v>8</c:v>
                </c:pt>
                <c:pt idx="5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10-41D9-9F89-2A074777C75A}"/>
            </c:ext>
          </c:extLst>
        </c:ser>
        <c:ser>
          <c:idx val="8"/>
          <c:order val="8"/>
          <c:tx>
            <c:strRef>
              <c:f>Test16!$A$10</c:f>
              <c:strCache>
                <c:ptCount val="1"/>
                <c:pt idx="0">
                  <c:v>Кузьмолов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Test16!$B$10:$G$10</c:f>
              <c:numCache>
                <c:formatCode>0.00</c:formatCode>
                <c:ptCount val="6"/>
                <c:pt idx="0">
                  <c:v>1</c:v>
                </c:pt>
                <c:pt idx="1">
                  <c:v>12</c:v>
                </c:pt>
                <c:pt idx="2">
                  <c:v>94</c:v>
                </c:pt>
                <c:pt idx="3">
                  <c:v>2</c:v>
                </c:pt>
                <c:pt idx="4">
                  <c:v>35</c:v>
                </c:pt>
                <c:pt idx="5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610-41D9-9F89-2A074777C75A}"/>
            </c:ext>
          </c:extLst>
        </c:ser>
        <c:ser>
          <c:idx val="9"/>
          <c:order val="9"/>
          <c:tx>
            <c:strRef>
              <c:f>Test16!$A$11</c:f>
              <c:strCache>
                <c:ptCount val="1"/>
                <c:pt idx="0">
                  <c:v>Токсисоф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Test16!$B$11:$G$11</c:f>
              <c:numCache>
                <c:formatCode>0.00</c:formatCode>
                <c:ptCount val="6"/>
                <c:pt idx="0">
                  <c:v>23</c:v>
                </c:pt>
                <c:pt idx="1">
                  <c:v>35</c:v>
                </c:pt>
                <c:pt idx="2">
                  <c:v>65</c:v>
                </c:pt>
                <c:pt idx="3">
                  <c:v>36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610-41D9-9F89-2A074777C75A}"/>
            </c:ext>
          </c:extLst>
        </c:ser>
        <c:ser>
          <c:idx val="10"/>
          <c:order val="10"/>
          <c:tx>
            <c:strRef>
              <c:f>Test16!$A$12</c:f>
              <c:strCache>
                <c:ptCount val="1"/>
                <c:pt idx="0">
                  <c:v>Кавголов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Test16!$B$12:$G$12</c:f>
              <c:numCache>
                <c:formatCode>0.00</c:formatCode>
                <c:ptCount val="6"/>
                <c:pt idx="0">
                  <c:v>5</c:v>
                </c:pt>
                <c:pt idx="1">
                  <c:v>64</c:v>
                </c:pt>
                <c:pt idx="2">
                  <c:v>75</c:v>
                </c:pt>
                <c:pt idx="3">
                  <c:v>94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10-41D9-9F89-2A074777C75A}"/>
            </c:ext>
          </c:extLst>
        </c:ser>
        <c:ser>
          <c:idx val="11"/>
          <c:order val="11"/>
          <c:tx>
            <c:strRef>
              <c:f>Test16!$A$13</c:f>
              <c:strCache>
                <c:ptCount val="1"/>
                <c:pt idx="0">
                  <c:v>Осель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Test16!$B$13:$G$13</c:f>
              <c:numCache>
                <c:formatCode>0.00</c:formatCode>
                <c:ptCount val="6"/>
                <c:pt idx="0">
                  <c:v>35</c:v>
                </c:pt>
                <c:pt idx="1">
                  <c:v>75</c:v>
                </c:pt>
                <c:pt idx="2">
                  <c:v>12</c:v>
                </c:pt>
                <c:pt idx="3">
                  <c:v>65</c:v>
                </c:pt>
                <c:pt idx="4">
                  <c:v>75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610-41D9-9F89-2A074777C75A}"/>
            </c:ext>
          </c:extLst>
        </c:ser>
        <c:ser>
          <c:idx val="12"/>
          <c:order val="12"/>
          <c:tx>
            <c:strRef>
              <c:f>Test16!$A$14</c:f>
              <c:strCache>
                <c:ptCount val="1"/>
                <c:pt idx="0">
                  <c:v>Пери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Test16!$B$14:$G$14</c:f>
              <c:numCache>
                <c:formatCode>0.00</c:formatCode>
                <c:ptCount val="6"/>
                <c:pt idx="0">
                  <c:v>-12</c:v>
                </c:pt>
                <c:pt idx="1">
                  <c:v>12</c:v>
                </c:pt>
                <c:pt idx="2">
                  <c:v>64</c:v>
                </c:pt>
                <c:pt idx="3">
                  <c:v>3</c:v>
                </c:pt>
                <c:pt idx="4">
                  <c:v>3</c:v>
                </c:pt>
                <c:pt idx="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610-41D9-9F89-2A074777C75A}"/>
            </c:ext>
          </c:extLst>
        </c:ser>
        <c:ser>
          <c:idx val="13"/>
          <c:order val="13"/>
          <c:tx>
            <c:strRef>
              <c:f>Test16!$A$15</c:f>
              <c:strCache>
                <c:ptCount val="1"/>
                <c:pt idx="0">
                  <c:v>Грузинов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Test16!$B$15:$G$15</c:f>
              <c:numCache>
                <c:formatCode>0.00</c:formatCode>
                <c:ptCount val="6"/>
                <c:pt idx="0">
                  <c:v>1</c:v>
                </c:pt>
                <c:pt idx="1">
                  <c:v>35</c:v>
                </c:pt>
                <c:pt idx="2">
                  <c:v>32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610-41D9-9F89-2A074777C75A}"/>
            </c:ext>
          </c:extLst>
        </c:ser>
        <c:ser>
          <c:idx val="14"/>
          <c:order val="14"/>
          <c:tx>
            <c:strRef>
              <c:f>Test16!$A$16</c:f>
              <c:strCache>
                <c:ptCount val="1"/>
                <c:pt idx="0">
                  <c:v>Васкелов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Test16!$B$16:$G$16</c:f>
              <c:numCache>
                <c:formatCode>0.00</c:formatCode>
                <c:ptCount val="6"/>
                <c:pt idx="0">
                  <c:v>45</c:v>
                </c:pt>
                <c:pt idx="1">
                  <c:v>64</c:v>
                </c:pt>
                <c:pt idx="2">
                  <c:v>94</c:v>
                </c:pt>
                <c:pt idx="3">
                  <c:v>35</c:v>
                </c:pt>
                <c:pt idx="4">
                  <c:v>35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610-41D9-9F89-2A074777C75A}"/>
            </c:ext>
          </c:extLst>
        </c:ser>
        <c:ser>
          <c:idx val="15"/>
          <c:order val="15"/>
          <c:tx>
            <c:strRef>
              <c:f>Test16!$A$17</c:f>
              <c:strCache>
                <c:ptCount val="1"/>
                <c:pt idx="0">
                  <c:v>Лемболов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Test16!$B$17:$G$17</c:f>
              <c:numCache>
                <c:formatCode>0.00</c:formatCode>
                <c:ptCount val="6"/>
                <c:pt idx="0">
                  <c:v>68</c:v>
                </c:pt>
                <c:pt idx="1">
                  <c:v>75</c:v>
                </c:pt>
                <c:pt idx="2">
                  <c:v>65</c:v>
                </c:pt>
                <c:pt idx="3">
                  <c:v>6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610-41D9-9F89-2A074777C75A}"/>
            </c:ext>
          </c:extLst>
        </c:ser>
        <c:ser>
          <c:idx val="16"/>
          <c:order val="16"/>
          <c:tx>
            <c:strRef>
              <c:f>Test16!$A$18</c:f>
              <c:strCache>
                <c:ptCount val="1"/>
                <c:pt idx="0">
                  <c:v>Орехов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Test16!$B$18:$G$18</c:f>
              <c:numCache>
                <c:formatCode>0.00</c:formatCode>
                <c:ptCount val="6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2</c:v>
                </c:pt>
                <c:pt idx="4">
                  <c:v>2</c:v>
                </c:pt>
                <c:pt idx="5">
                  <c:v>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610-41D9-9F89-2A074777C75A}"/>
            </c:ext>
          </c:extLst>
        </c:ser>
        <c:ser>
          <c:idx val="17"/>
          <c:order val="17"/>
          <c:tx>
            <c:strRef>
              <c:f>Test16!$A$19</c:f>
              <c:strCache>
                <c:ptCount val="1"/>
                <c:pt idx="0">
                  <c:v>Сосновое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Test16!$B$19:$G$19</c:f>
              <c:numCache>
                <c:formatCode>0.00</c:formatCode>
                <c:ptCount val="6"/>
                <c:pt idx="0">
                  <c:v>21</c:v>
                </c:pt>
                <c:pt idx="1">
                  <c:v>35</c:v>
                </c:pt>
                <c:pt idx="2">
                  <c:v>64</c:v>
                </c:pt>
                <c:pt idx="3">
                  <c:v>11.27</c:v>
                </c:pt>
                <c:pt idx="4">
                  <c:v>14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610-41D9-9F89-2A074777C75A}"/>
            </c:ext>
          </c:extLst>
        </c:ser>
        <c:ser>
          <c:idx val="18"/>
          <c:order val="18"/>
          <c:tx>
            <c:strRef>
              <c:f>Test16!$A$20</c:f>
              <c:strCache>
                <c:ptCount val="1"/>
                <c:pt idx="0">
                  <c:v>Петяярви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Test16!$B$20:$G$20</c:f>
              <c:numCache>
                <c:formatCode>0.00</c:formatCode>
                <c:ptCount val="6"/>
                <c:pt idx="0">
                  <c:v>56</c:v>
                </c:pt>
                <c:pt idx="1">
                  <c:v>64</c:v>
                </c:pt>
                <c:pt idx="2">
                  <c:v>-12</c:v>
                </c:pt>
                <c:pt idx="3">
                  <c:v>12</c:v>
                </c:pt>
                <c:pt idx="4">
                  <c:v>14.19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610-41D9-9F89-2A074777C75A}"/>
            </c:ext>
          </c:extLst>
        </c:ser>
        <c:ser>
          <c:idx val="19"/>
          <c:order val="19"/>
          <c:tx>
            <c:strRef>
              <c:f>Test16!$A$21</c:f>
              <c:strCache>
                <c:ptCount val="1"/>
                <c:pt idx="0">
                  <c:v>Лосев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Test16!$B$21:$G$21</c:f>
              <c:numCache>
                <c:formatCode>0.00</c:formatCode>
                <c:ptCount val="6"/>
                <c:pt idx="0">
                  <c:v>14</c:v>
                </c:pt>
                <c:pt idx="1">
                  <c:v>75</c:v>
                </c:pt>
                <c:pt idx="2">
                  <c:v>94</c:v>
                </c:pt>
                <c:pt idx="3">
                  <c:v>64</c:v>
                </c:pt>
                <c:pt idx="4">
                  <c:v>12</c:v>
                </c:pt>
                <c:pt idx="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610-41D9-9F89-2A074777C75A}"/>
            </c:ext>
          </c:extLst>
        </c:ser>
        <c:ser>
          <c:idx val="20"/>
          <c:order val="20"/>
          <c:tx>
            <c:strRef>
              <c:f>Test16!$A$22</c:f>
              <c:strCache>
                <c:ptCount val="1"/>
                <c:pt idx="0">
                  <c:v>Громов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Test16!$B$22:$G$22</c:f>
              <c:numCache>
                <c:formatCode>0.00</c:formatCode>
                <c:ptCount val="6"/>
                <c:pt idx="0">
                  <c:v>25</c:v>
                </c:pt>
                <c:pt idx="1">
                  <c:v>12</c:v>
                </c:pt>
                <c:pt idx="2">
                  <c:v>65</c:v>
                </c:pt>
                <c:pt idx="3">
                  <c:v>32</c:v>
                </c:pt>
                <c:pt idx="4">
                  <c:v>35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610-41D9-9F89-2A074777C75A}"/>
            </c:ext>
          </c:extLst>
        </c:ser>
        <c:ser>
          <c:idx val="21"/>
          <c:order val="21"/>
          <c:tx>
            <c:strRef>
              <c:f>Test16!$A$23</c:f>
              <c:strCache>
                <c:ptCount val="1"/>
                <c:pt idx="0">
                  <c:v>Суходолье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Test16!$B$23:$G$23</c:f>
              <c:numCache>
                <c:formatCode>0.00</c:formatCode>
                <c:ptCount val="6"/>
                <c:pt idx="0">
                  <c:v>95</c:v>
                </c:pt>
                <c:pt idx="1">
                  <c:v>35</c:v>
                </c:pt>
                <c:pt idx="2">
                  <c:v>12</c:v>
                </c:pt>
                <c:pt idx="3">
                  <c:v>94</c:v>
                </c:pt>
                <c:pt idx="4">
                  <c:v>64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610-41D9-9F89-2A074777C75A}"/>
            </c:ext>
          </c:extLst>
        </c:ser>
        <c:ser>
          <c:idx val="22"/>
          <c:order val="22"/>
          <c:tx>
            <c:strRef>
              <c:f>Test16!$A$24</c:f>
              <c:strCache>
                <c:ptCount val="1"/>
                <c:pt idx="0">
                  <c:v>Отрадное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Test16!$B$24:$G$24</c:f>
              <c:numCache>
                <c:formatCode>0.00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64</c:v>
                </c:pt>
                <c:pt idx="3">
                  <c:v>65</c:v>
                </c:pt>
                <c:pt idx="4">
                  <c:v>75</c:v>
                </c:pt>
                <c:pt idx="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610-41D9-9F89-2A074777C75A}"/>
            </c:ext>
          </c:extLst>
        </c:ser>
        <c:ser>
          <c:idx val="23"/>
          <c:order val="23"/>
          <c:tx>
            <c:strRef>
              <c:f>Test16!$A$25</c:f>
              <c:strCache>
                <c:ptCount val="1"/>
                <c:pt idx="0">
                  <c:v>Мюллюпельто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Test16!$B$25:$G$25</c:f>
              <c:numCache>
                <c:formatCode>0.00</c:formatCode>
                <c:ptCount val="6"/>
                <c:pt idx="0">
                  <c:v>65</c:v>
                </c:pt>
                <c:pt idx="1">
                  <c:v>75</c:v>
                </c:pt>
                <c:pt idx="2">
                  <c:v>32</c:v>
                </c:pt>
                <c:pt idx="3">
                  <c:v>45</c:v>
                </c:pt>
                <c:pt idx="4">
                  <c:v>15</c:v>
                </c:pt>
                <c:pt idx="5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610-41D9-9F89-2A074777C75A}"/>
            </c:ext>
          </c:extLst>
        </c:ser>
        <c:ser>
          <c:idx val="24"/>
          <c:order val="24"/>
          <c:tx>
            <c:strRef>
              <c:f>Test16!$A$26</c:f>
              <c:strCache>
                <c:ptCount val="1"/>
                <c:pt idx="0">
                  <c:v>Синево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Test16!$B$26:$G$26</c:f>
              <c:numCache>
                <c:formatCode>0.00</c:formatCode>
                <c:ptCount val="6"/>
                <c:pt idx="0">
                  <c:v>75</c:v>
                </c:pt>
                <c:pt idx="1">
                  <c:v>48</c:v>
                </c:pt>
                <c:pt idx="2">
                  <c:v>94</c:v>
                </c:pt>
                <c:pt idx="3">
                  <c:v>12</c:v>
                </c:pt>
                <c:pt idx="4">
                  <c:v>13</c:v>
                </c:pt>
                <c:pt idx="5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610-41D9-9F89-2A074777C75A}"/>
            </c:ext>
          </c:extLst>
        </c:ser>
        <c:ser>
          <c:idx val="25"/>
          <c:order val="25"/>
          <c:tx>
            <c:strRef>
              <c:f>Test16!$A$27</c:f>
              <c:strCache>
                <c:ptCount val="1"/>
                <c:pt idx="0">
                  <c:v>Приозерское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Test16!$B$1:$G$1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Test16!$B$27:$G$27</c:f>
              <c:numCache>
                <c:formatCode>0.00</c:formatCode>
                <c:ptCount val="6"/>
                <c:pt idx="0">
                  <c:v>13</c:v>
                </c:pt>
                <c:pt idx="1">
                  <c:v>12</c:v>
                </c:pt>
                <c:pt idx="2">
                  <c:v>65</c:v>
                </c:pt>
                <c:pt idx="3">
                  <c:v>89</c:v>
                </c:pt>
                <c:pt idx="4">
                  <c:v>4</c:v>
                </c:pt>
                <c:pt idx="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610-41D9-9F89-2A074777C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334847"/>
        <c:axId val="126588543"/>
      </c:lineChart>
      <c:catAx>
        <c:axId val="2143348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588543"/>
        <c:crosses val="autoZero"/>
        <c:auto val="1"/>
        <c:lblAlgn val="ctr"/>
        <c:lblOffset val="100"/>
        <c:noMultiLvlLbl val="0"/>
      </c:catAx>
      <c:valAx>
        <c:axId val="12658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33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198120</xdr:colOff>
      <xdr:row>0</xdr:row>
      <xdr:rowOff>60960</xdr:rowOff>
    </xdr:from>
    <xdr:to>
      <xdr:col>34</xdr:col>
      <xdr:colOff>259080</xdr:colOff>
      <xdr:row>28</xdr:row>
      <xdr:rowOff>91440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3C493DC-C554-422D-6D2B-8CF3E5509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220980</xdr:colOff>
          <xdr:row>0</xdr:row>
          <xdr:rowOff>182880</xdr:rowOff>
        </xdr:from>
        <xdr:to>
          <xdr:col>2</xdr:col>
          <xdr:colOff>121920</xdr:colOff>
          <xdr:row>2</xdr:row>
          <xdr:rowOff>30480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1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Кнопка 1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22860</xdr:colOff>
          <xdr:row>0</xdr:row>
          <xdr:rowOff>38100</xdr:rowOff>
        </xdr:from>
        <xdr:to>
          <xdr:col>1</xdr:col>
          <xdr:colOff>556260</xdr:colOff>
          <xdr:row>0</xdr:row>
          <xdr:rowOff>167640</xdr:rowOff>
        </xdr:to>
        <xdr:sp macro="" textlink="">
          <xdr:nvSpPr>
            <xdr:cNvPr id="7169" name="CheckBox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12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1</xdr:row>
          <xdr:rowOff>38100</xdr:rowOff>
        </xdr:from>
        <xdr:to>
          <xdr:col>1</xdr:col>
          <xdr:colOff>556260</xdr:colOff>
          <xdr:row>1</xdr:row>
          <xdr:rowOff>167640</xdr:rowOff>
        </xdr:to>
        <xdr:sp macro="" textlink="">
          <xdr:nvSpPr>
            <xdr:cNvPr id="7177" name="CheckBox2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12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2</xdr:row>
          <xdr:rowOff>38100</xdr:rowOff>
        </xdr:from>
        <xdr:to>
          <xdr:col>1</xdr:col>
          <xdr:colOff>556260</xdr:colOff>
          <xdr:row>2</xdr:row>
          <xdr:rowOff>167640</xdr:rowOff>
        </xdr:to>
        <xdr:sp macro="" textlink="">
          <xdr:nvSpPr>
            <xdr:cNvPr id="7178" name="CheckBox3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12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38100</xdr:rowOff>
        </xdr:from>
        <xdr:to>
          <xdr:col>1</xdr:col>
          <xdr:colOff>556260</xdr:colOff>
          <xdr:row>3</xdr:row>
          <xdr:rowOff>167640</xdr:rowOff>
        </xdr:to>
        <xdr:sp macro="" textlink="">
          <xdr:nvSpPr>
            <xdr:cNvPr id="7179" name="CheckBox4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12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4</xdr:row>
          <xdr:rowOff>38100</xdr:rowOff>
        </xdr:from>
        <xdr:to>
          <xdr:col>1</xdr:col>
          <xdr:colOff>556260</xdr:colOff>
          <xdr:row>4</xdr:row>
          <xdr:rowOff>167640</xdr:rowOff>
        </xdr:to>
        <xdr:sp macro="" textlink="">
          <xdr:nvSpPr>
            <xdr:cNvPr id="7180" name="CheckBox5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12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6</xdr:row>
          <xdr:rowOff>38100</xdr:rowOff>
        </xdr:from>
        <xdr:to>
          <xdr:col>1</xdr:col>
          <xdr:colOff>556260</xdr:colOff>
          <xdr:row>6</xdr:row>
          <xdr:rowOff>167640</xdr:rowOff>
        </xdr:to>
        <xdr:sp macro="" textlink="">
          <xdr:nvSpPr>
            <xdr:cNvPr id="7181" name="CheckBox6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12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5</xdr:row>
          <xdr:rowOff>38100</xdr:rowOff>
        </xdr:from>
        <xdr:to>
          <xdr:col>1</xdr:col>
          <xdr:colOff>556260</xdr:colOff>
          <xdr:row>5</xdr:row>
          <xdr:rowOff>167640</xdr:rowOff>
        </xdr:to>
        <xdr:sp macro="" textlink="">
          <xdr:nvSpPr>
            <xdr:cNvPr id="7182" name="CheckBox7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12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7</xdr:row>
          <xdr:rowOff>38100</xdr:rowOff>
        </xdr:from>
        <xdr:to>
          <xdr:col>1</xdr:col>
          <xdr:colOff>556260</xdr:colOff>
          <xdr:row>7</xdr:row>
          <xdr:rowOff>167640</xdr:rowOff>
        </xdr:to>
        <xdr:sp macro="" textlink="">
          <xdr:nvSpPr>
            <xdr:cNvPr id="7183" name="CheckBox8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12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0</xdr:row>
          <xdr:rowOff>45720</xdr:rowOff>
        </xdr:from>
        <xdr:to>
          <xdr:col>9</xdr:col>
          <xdr:colOff>152400</xdr:colOff>
          <xdr:row>21</xdr:row>
          <xdr:rowOff>129540</xdr:rowOff>
        </xdr:to>
        <xdr:sp macro="" textlink="">
          <xdr:nvSpPr>
            <xdr:cNvPr id="6147" name="Label1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13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541020</xdr:colOff>
          <xdr:row>0</xdr:row>
          <xdr:rowOff>60960</xdr:rowOff>
        </xdr:from>
        <xdr:to>
          <xdr:col>19</xdr:col>
          <xdr:colOff>350520</xdr:colOff>
          <xdr:row>20</xdr:row>
          <xdr:rowOff>152400</xdr:rowOff>
        </xdr:to>
        <xdr:sp macro="" textlink="">
          <xdr:nvSpPr>
            <xdr:cNvPr id="6151" name="Label2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13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556260</xdr:colOff>
          <xdr:row>16</xdr:row>
          <xdr:rowOff>22860</xdr:rowOff>
        </xdr:from>
        <xdr:to>
          <xdr:col>18</xdr:col>
          <xdr:colOff>594360</xdr:colOff>
          <xdr:row>20</xdr:row>
          <xdr:rowOff>91440</xdr:rowOff>
        </xdr:to>
        <xdr:sp macro="" textlink="">
          <xdr:nvSpPr>
            <xdr:cNvPr id="6156" name="Image1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13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190500</xdr:colOff>
          <xdr:row>16</xdr:row>
          <xdr:rowOff>22860</xdr:rowOff>
        </xdr:from>
        <xdr:to>
          <xdr:col>9</xdr:col>
          <xdr:colOff>228600</xdr:colOff>
          <xdr:row>21</xdr:row>
          <xdr:rowOff>22860</xdr:rowOff>
        </xdr:to>
        <xdr:sp macro="" textlink="">
          <xdr:nvSpPr>
            <xdr:cNvPr id="6157" name="Image2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13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1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image" Target="../media/image2.emf"/><Relationship Id="rId11" Type="http://schemas.openxmlformats.org/officeDocument/2006/relationships/control" Target="../activeX/activeX7.xml"/><Relationship Id="rId5" Type="http://schemas.openxmlformats.org/officeDocument/2006/relationships/control" Target="../activeX/activeX2.xml"/><Relationship Id="rId10" Type="http://schemas.openxmlformats.org/officeDocument/2006/relationships/control" Target="../activeX/activeX6.xml"/><Relationship Id="rId4" Type="http://schemas.openxmlformats.org/officeDocument/2006/relationships/image" Target="../media/image1.emf"/><Relationship Id="rId9" Type="http://schemas.openxmlformats.org/officeDocument/2006/relationships/control" Target="../activeX/activeX5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control" Target="../activeX/activeX9.xml"/><Relationship Id="rId7" Type="http://schemas.openxmlformats.org/officeDocument/2006/relationships/control" Target="../activeX/activeX1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6" Type="http://schemas.openxmlformats.org/officeDocument/2006/relationships/image" Target="../media/image4.emf"/><Relationship Id="rId5" Type="http://schemas.openxmlformats.org/officeDocument/2006/relationships/control" Target="../activeX/activeX10.xml"/><Relationship Id="rId10" Type="http://schemas.openxmlformats.org/officeDocument/2006/relationships/image" Target="../media/image6.emf"/><Relationship Id="rId4" Type="http://schemas.openxmlformats.org/officeDocument/2006/relationships/image" Target="../media/image3.emf"/><Relationship Id="rId9" Type="http://schemas.openxmlformats.org/officeDocument/2006/relationships/control" Target="../activeX/activeX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2"/>
  <dimension ref="A2:K398"/>
  <sheetViews>
    <sheetView workbookViewId="0">
      <selection activeCell="L6" sqref="L6"/>
    </sheetView>
  </sheetViews>
  <sheetFormatPr defaultColWidth="9.109375" defaultRowHeight="14.4"/>
  <cols>
    <col min="1" max="16384" width="9.109375" style="2"/>
  </cols>
  <sheetData>
    <row r="2" spans="1:11">
      <c r="A2" s="49"/>
      <c r="B2" s="49"/>
      <c r="C2" s="49"/>
      <c r="D2" s="49"/>
      <c r="E2" s="9"/>
      <c r="F2" s="9"/>
      <c r="G2" s="9"/>
      <c r="H2" s="9"/>
      <c r="I2" s="9"/>
      <c r="J2" s="9"/>
      <c r="K2" s="6">
        <v>10</v>
      </c>
    </row>
    <row r="4" spans="1:11">
      <c r="A4" s="1"/>
      <c r="B4" s="1"/>
      <c r="C4" s="1"/>
      <c r="D4" s="1"/>
      <c r="E4" s="3" t="s">
        <v>149</v>
      </c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3" t="s">
        <v>150</v>
      </c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3" t="s">
        <v>151</v>
      </c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3"/>
      <c r="F7" s="1"/>
      <c r="G7" s="1"/>
      <c r="H7" s="1"/>
      <c r="I7" s="1"/>
      <c r="J7" s="1"/>
      <c r="K7" s="1"/>
    </row>
    <row r="9" spans="1:11" ht="15.6">
      <c r="A9" s="1"/>
      <c r="B9" s="1"/>
      <c r="C9" s="1"/>
      <c r="D9" s="1"/>
      <c r="E9" s="7" t="s">
        <v>241</v>
      </c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3" t="s">
        <v>152</v>
      </c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3" t="s">
        <v>153</v>
      </c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3" t="s">
        <v>154</v>
      </c>
      <c r="F12" s="1"/>
      <c r="G12" s="1"/>
      <c r="H12" s="1"/>
      <c r="I12" s="1"/>
      <c r="J12" s="1"/>
      <c r="K12" s="1"/>
    </row>
    <row r="20" spans="10:11">
      <c r="J20" s="3"/>
      <c r="K20" s="8"/>
    </row>
    <row r="21" spans="10:11">
      <c r="J21" s="38"/>
      <c r="K21" s="49"/>
    </row>
    <row r="22" spans="10:11">
      <c r="J22" s="38"/>
      <c r="K22" s="49"/>
    </row>
    <row r="23" spans="10:11">
      <c r="J23" s="38"/>
      <c r="K23" s="49"/>
    </row>
    <row r="24" spans="10:11">
      <c r="J24" s="38"/>
      <c r="K24" s="49"/>
    </row>
    <row r="25" spans="10:11">
      <c r="J25" s="38"/>
      <c r="K25" s="49"/>
    </row>
    <row r="26" spans="10:11">
      <c r="J26" s="38"/>
      <c r="K26" s="49"/>
    </row>
    <row r="27" spans="10:11">
      <c r="J27" s="38"/>
      <c r="K27" s="49"/>
    </row>
    <row r="28" spans="10:11">
      <c r="J28" s="38"/>
      <c r="K28" s="49"/>
    </row>
    <row r="29" spans="10:11">
      <c r="J29" s="38"/>
      <c r="K29" s="49"/>
    </row>
    <row r="30" spans="10:11">
      <c r="J30" s="38"/>
      <c r="K30" s="49"/>
    </row>
    <row r="31" spans="10:11">
      <c r="J31" s="38"/>
      <c r="K31" s="49"/>
    </row>
    <row r="32" spans="10:11">
      <c r="J32" s="38"/>
      <c r="K32" s="49"/>
    </row>
    <row r="33" spans="11:11">
      <c r="K33" s="49"/>
    </row>
    <row r="34" spans="11:11">
      <c r="K34" s="49"/>
    </row>
    <row r="35" spans="11:11">
      <c r="K35" s="49"/>
    </row>
    <row r="36" spans="11:11">
      <c r="K36" s="49"/>
    </row>
    <row r="37" spans="11:11">
      <c r="K37" s="49"/>
    </row>
    <row r="38" spans="11:11">
      <c r="K38" s="49"/>
    </row>
    <row r="39" spans="11:11">
      <c r="K39" s="49"/>
    </row>
    <row r="40" spans="11:11">
      <c r="K40" s="49"/>
    </row>
    <row r="41" spans="11:11">
      <c r="K41" s="49"/>
    </row>
    <row r="42" spans="11:11">
      <c r="K42" s="49"/>
    </row>
    <row r="43" spans="11:11">
      <c r="K43" s="49"/>
    </row>
    <row r="44" spans="11:11">
      <c r="K44" s="49"/>
    </row>
    <row r="45" spans="11:11">
      <c r="K45" s="49"/>
    </row>
    <row r="392" spans="11:11">
      <c r="K392" s="49"/>
    </row>
    <row r="393" spans="11:11">
      <c r="K393" s="49"/>
    </row>
    <row r="394" spans="11:11">
      <c r="K394" s="49"/>
    </row>
    <row r="395" spans="11:11">
      <c r="K395" s="50">
        <v>0.58883101851851849</v>
      </c>
    </row>
    <row r="396" spans="11:11">
      <c r="K396" s="51"/>
    </row>
    <row r="397" spans="11:11">
      <c r="K397" s="51"/>
    </row>
    <row r="398" spans="11:11">
      <c r="K398" s="49"/>
    </row>
  </sheetData>
  <sheetProtection formatCells="0" formatColumns="0" formatRows="0" sort="0" autoFilter="0" pivotTables="0"/>
  <protectedRanges>
    <protectedRange sqref="K2" name="Диапазон1"/>
  </protectedRanges>
  <phoneticPr fontId="0" type="noConversion"/>
  <dataValidations count="1">
    <dataValidation type="whole" allowBlank="1" showInputMessage="1" showErrorMessage="1" sqref="K2" xr:uid="{1C3CC0AC-7DC8-490F-A94D-60BD0452DC0C}">
      <formula1>10</formula1>
      <formula2>100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K34"/>
  <sheetViews>
    <sheetView workbookViewId="0">
      <selection activeCell="C4" sqref="C4"/>
    </sheetView>
  </sheetViews>
  <sheetFormatPr defaultColWidth="9.109375" defaultRowHeight="14.4"/>
  <cols>
    <col min="1" max="1" width="11.33203125" style="2" bestFit="1" customWidth="1"/>
    <col min="2" max="2" width="10.33203125" style="2" bestFit="1" customWidth="1"/>
    <col min="3" max="3" width="20" style="2" customWidth="1"/>
    <col min="4" max="16384" width="9.109375" style="2"/>
  </cols>
  <sheetData>
    <row r="1" spans="1:5">
      <c r="A1" s="5" t="s">
        <v>61</v>
      </c>
      <c r="B1" s="5" t="s">
        <v>0</v>
      </c>
      <c r="C1" s="5" t="str">
        <f>(A1&amp;" "&amp;B1)</f>
        <v>Вальвач Вика</v>
      </c>
      <c r="D1" s="1"/>
    </row>
    <row r="2" spans="1:5" ht="15.6">
      <c r="A2" s="5" t="s">
        <v>1</v>
      </c>
      <c r="B2" s="5" t="s">
        <v>2</v>
      </c>
      <c r="C2" s="5" t="str">
        <f t="shared" ref="C2:C34" si="0">(A2&amp;" "&amp;B2)</f>
        <v>Гаврилова Елена</v>
      </c>
      <c r="D2" s="1"/>
      <c r="E2" s="7" t="s">
        <v>113</v>
      </c>
    </row>
    <row r="3" spans="1:5" ht="15.6">
      <c r="A3" s="5" t="s">
        <v>4</v>
      </c>
      <c r="B3" s="5" t="s">
        <v>5</v>
      </c>
      <c r="C3" s="5" t="str">
        <f t="shared" si="0"/>
        <v>Гуреев Андрей</v>
      </c>
      <c r="D3" s="1"/>
      <c r="E3" s="7"/>
    </row>
    <row r="4" spans="1:5">
      <c r="A4" s="5" t="s">
        <v>7</v>
      </c>
      <c r="B4" s="5" t="s">
        <v>8</v>
      </c>
      <c r="C4" s="5" t="str">
        <f t="shared" si="0"/>
        <v>Данилова Мария</v>
      </c>
      <c r="D4" s="1"/>
      <c r="E4" s="3" t="s">
        <v>3</v>
      </c>
    </row>
    <row r="5" spans="1:5">
      <c r="A5" s="5" t="s">
        <v>10</v>
      </c>
      <c r="B5" s="5" t="s">
        <v>11</v>
      </c>
      <c r="C5" s="5" t="str">
        <f t="shared" si="0"/>
        <v>Дмитриева Ольга</v>
      </c>
      <c r="D5" s="1"/>
      <c r="E5" s="3" t="s">
        <v>6</v>
      </c>
    </row>
    <row r="6" spans="1:5">
      <c r="A6" s="5" t="s">
        <v>13</v>
      </c>
      <c r="B6" s="5" t="s">
        <v>14</v>
      </c>
      <c r="C6" s="5" t="str">
        <f t="shared" si="0"/>
        <v>Карпенко Анастасия</v>
      </c>
      <c r="D6" s="1"/>
      <c r="E6" s="3" t="s">
        <v>9</v>
      </c>
    </row>
    <row r="7" spans="1:5">
      <c r="A7" s="5" t="s">
        <v>15</v>
      </c>
      <c r="B7" s="5" t="s">
        <v>2</v>
      </c>
      <c r="C7" s="5" t="str">
        <f t="shared" si="0"/>
        <v>Климова Елена</v>
      </c>
      <c r="D7" s="1"/>
      <c r="E7" s="3" t="s">
        <v>12</v>
      </c>
    </row>
    <row r="8" spans="1:5">
      <c r="A8" s="5" t="s">
        <v>16</v>
      </c>
      <c r="B8" s="5" t="s">
        <v>17</v>
      </c>
      <c r="C8" s="5" t="str">
        <f t="shared" si="0"/>
        <v>Кулакова Лина</v>
      </c>
      <c r="D8" s="1"/>
      <c r="E8" s="1"/>
    </row>
    <row r="9" spans="1:5">
      <c r="A9" s="5" t="s">
        <v>19</v>
      </c>
      <c r="B9" s="5" t="s">
        <v>20</v>
      </c>
      <c r="C9" s="5" t="str">
        <f t="shared" si="0"/>
        <v>Машика Александр</v>
      </c>
      <c r="D9" s="1"/>
      <c r="E9" s="1"/>
    </row>
    <row r="10" spans="1:5">
      <c r="A10" s="5" t="s">
        <v>22</v>
      </c>
      <c r="B10" s="5" t="s">
        <v>23</v>
      </c>
      <c r="C10" s="5" t="str">
        <f t="shared" si="0"/>
        <v>Минасян Артур</v>
      </c>
      <c r="D10" s="1"/>
      <c r="E10" s="3" t="s">
        <v>18</v>
      </c>
    </row>
    <row r="11" spans="1:5">
      <c r="A11" s="5" t="s">
        <v>24</v>
      </c>
      <c r="B11" s="5" t="s">
        <v>25</v>
      </c>
      <c r="C11" s="5" t="str">
        <f t="shared" si="0"/>
        <v>Павлова Саша</v>
      </c>
      <c r="D11" s="1"/>
      <c r="E11" s="3" t="s">
        <v>21</v>
      </c>
    </row>
    <row r="12" spans="1:5">
      <c r="A12" s="5" t="s">
        <v>26</v>
      </c>
      <c r="B12" s="5" t="s">
        <v>27</v>
      </c>
      <c r="C12" s="5" t="str">
        <f t="shared" si="0"/>
        <v>Сечкина Виктория</v>
      </c>
      <c r="D12" s="1"/>
      <c r="E12" s="3"/>
    </row>
    <row r="13" spans="1:5">
      <c r="A13" s="5" t="s">
        <v>28</v>
      </c>
      <c r="B13" s="5" t="s">
        <v>29</v>
      </c>
      <c r="C13" s="5" t="str">
        <f t="shared" si="0"/>
        <v>Смирнова Ирина</v>
      </c>
      <c r="D13" s="1"/>
      <c r="E13" s="3"/>
    </row>
    <row r="14" spans="1:5">
      <c r="A14" s="5" t="s">
        <v>30</v>
      </c>
      <c r="B14" s="5" t="s">
        <v>2</v>
      </c>
      <c r="C14" s="5" t="str">
        <f t="shared" si="0"/>
        <v>Соколова Елена</v>
      </c>
      <c r="D14" s="1"/>
      <c r="E14" s="1"/>
    </row>
    <row r="15" spans="1:5">
      <c r="A15" s="5" t="s">
        <v>31</v>
      </c>
      <c r="B15" s="5" t="s">
        <v>32</v>
      </c>
      <c r="C15" s="5" t="str">
        <f t="shared" si="0"/>
        <v>Филиппова Олеся</v>
      </c>
      <c r="D15" s="1"/>
      <c r="E15" s="1"/>
    </row>
    <row r="16" spans="1:5">
      <c r="A16" s="5" t="s">
        <v>33</v>
      </c>
      <c r="B16" s="5" t="s">
        <v>34</v>
      </c>
      <c r="C16" s="5" t="str">
        <f t="shared" si="0"/>
        <v>Павленко Дмитрий</v>
      </c>
      <c r="D16" s="1"/>
      <c r="E16" s="1"/>
    </row>
    <row r="17" spans="1:11">
      <c r="A17" s="5" t="s">
        <v>35</v>
      </c>
      <c r="B17" s="5" t="s">
        <v>11</v>
      </c>
      <c r="C17" s="5" t="str">
        <f t="shared" si="0"/>
        <v>Величко Ольга</v>
      </c>
      <c r="D17" s="1"/>
      <c r="E17" s="1"/>
      <c r="K17" s="1"/>
    </row>
    <row r="18" spans="1:11">
      <c r="A18" s="5" t="s">
        <v>36</v>
      </c>
      <c r="B18" s="5" t="s">
        <v>34</v>
      </c>
      <c r="C18" s="5" t="str">
        <f t="shared" si="0"/>
        <v>Волков Дмитрий</v>
      </c>
      <c r="D18" s="1"/>
      <c r="E18" s="1"/>
      <c r="F18" s="1"/>
      <c r="G18" s="1"/>
      <c r="H18" s="1"/>
      <c r="I18" s="1"/>
      <c r="J18" s="1"/>
      <c r="K18" s="1"/>
    </row>
    <row r="19" spans="1:11">
      <c r="A19" s="5" t="s">
        <v>37</v>
      </c>
      <c r="B19" s="5" t="s">
        <v>38</v>
      </c>
      <c r="C19" s="5" t="str">
        <f t="shared" si="0"/>
        <v>Глухова Татьяна</v>
      </c>
      <c r="D19" s="1"/>
      <c r="E19" s="1"/>
      <c r="F19" s="1"/>
      <c r="G19" s="1"/>
      <c r="H19" s="1"/>
      <c r="I19" s="1"/>
      <c r="J19" s="1"/>
      <c r="K19" s="1"/>
    </row>
    <row r="20" spans="1:11">
      <c r="A20" s="5" t="s">
        <v>39</v>
      </c>
      <c r="B20" s="5" t="s">
        <v>40</v>
      </c>
      <c r="C20" s="5" t="str">
        <f t="shared" si="0"/>
        <v>Дунаев Сергей</v>
      </c>
      <c r="D20" s="1"/>
      <c r="E20" s="1"/>
      <c r="F20" s="1"/>
      <c r="G20" s="1"/>
      <c r="H20" s="1"/>
      <c r="I20" s="1"/>
      <c r="J20" s="1"/>
      <c r="K20" s="4"/>
    </row>
    <row r="21" spans="1:11">
      <c r="A21" s="5" t="s">
        <v>41</v>
      </c>
      <c r="B21" s="5" t="s">
        <v>34</v>
      </c>
      <c r="C21" s="5" t="str">
        <f t="shared" si="0"/>
        <v>Иванов Дмитрий</v>
      </c>
      <c r="D21" s="1"/>
      <c r="E21" s="1"/>
      <c r="F21" s="1"/>
      <c r="G21" s="1"/>
      <c r="H21" s="1"/>
      <c r="I21" s="1"/>
      <c r="J21" s="1"/>
      <c r="K21" s="1"/>
    </row>
    <row r="22" spans="1:11">
      <c r="A22" s="5" t="s">
        <v>41</v>
      </c>
      <c r="B22" s="5" t="s">
        <v>42</v>
      </c>
      <c r="C22" s="5" t="str">
        <f t="shared" si="0"/>
        <v>Иванов Максим</v>
      </c>
      <c r="D22" s="1"/>
      <c r="E22" s="1"/>
      <c r="F22" s="1"/>
      <c r="G22" s="1"/>
      <c r="H22" s="1"/>
      <c r="I22" s="1"/>
      <c r="J22" s="1"/>
      <c r="K22" s="1"/>
    </row>
    <row r="23" spans="1:11">
      <c r="A23" s="5" t="s">
        <v>43</v>
      </c>
      <c r="B23" s="5" t="s">
        <v>44</v>
      </c>
      <c r="C23" s="5" t="str">
        <f t="shared" si="0"/>
        <v>Киселева Светлана</v>
      </c>
      <c r="D23" s="1"/>
      <c r="E23" s="1"/>
      <c r="F23" s="1"/>
      <c r="G23" s="1"/>
      <c r="H23" s="1"/>
      <c r="I23" s="1"/>
      <c r="J23" s="1"/>
      <c r="K23" s="1"/>
    </row>
    <row r="24" spans="1:11">
      <c r="A24" s="5" t="s">
        <v>45</v>
      </c>
      <c r="B24" s="5" t="s">
        <v>20</v>
      </c>
      <c r="C24" s="5" t="str">
        <f t="shared" si="0"/>
        <v>Костюков Александр</v>
      </c>
      <c r="D24" s="1"/>
      <c r="E24" s="1"/>
      <c r="F24" s="1"/>
      <c r="G24" s="1"/>
      <c r="H24" s="1"/>
      <c r="I24" s="1"/>
      <c r="J24" s="1"/>
      <c r="K24" s="1"/>
    </row>
    <row r="25" spans="1:11">
      <c r="A25" s="5" t="s">
        <v>46</v>
      </c>
      <c r="B25" s="5" t="s">
        <v>47</v>
      </c>
      <c r="C25" s="5" t="str">
        <f t="shared" si="0"/>
        <v>Морозова Наталия</v>
      </c>
      <c r="D25" s="1"/>
      <c r="E25" s="1"/>
      <c r="F25" s="1"/>
      <c r="G25" s="1"/>
      <c r="H25" s="1"/>
      <c r="I25" s="1"/>
      <c r="J25" s="1"/>
      <c r="K25" s="1"/>
    </row>
    <row r="26" spans="1:11">
      <c r="A26" s="5" t="s">
        <v>48</v>
      </c>
      <c r="B26" s="5" t="s">
        <v>49</v>
      </c>
      <c r="C26" s="5" t="str">
        <f t="shared" si="0"/>
        <v>Оснач Евгений</v>
      </c>
      <c r="D26" s="1"/>
      <c r="E26" s="1"/>
      <c r="F26" s="1"/>
      <c r="G26" s="1"/>
      <c r="H26" s="1"/>
      <c r="I26" s="1"/>
      <c r="J26" s="1"/>
      <c r="K26" s="1"/>
    </row>
    <row r="27" spans="1:11">
      <c r="A27" s="5" t="s">
        <v>50</v>
      </c>
      <c r="B27" s="5" t="s">
        <v>51</v>
      </c>
      <c r="C27" s="5" t="str">
        <f t="shared" si="0"/>
        <v>Подольский Николай</v>
      </c>
      <c r="D27" s="1"/>
      <c r="E27" s="1"/>
      <c r="F27" s="1"/>
      <c r="G27" s="1"/>
      <c r="H27" s="1"/>
      <c r="I27" s="1"/>
      <c r="J27" s="1"/>
      <c r="K27" s="1"/>
    </row>
    <row r="28" spans="1:11">
      <c r="A28" s="5" t="s">
        <v>50</v>
      </c>
      <c r="B28" s="5" t="s">
        <v>52</v>
      </c>
      <c r="C28" s="5" t="str">
        <f t="shared" si="0"/>
        <v>Подольский Петр</v>
      </c>
      <c r="D28" s="1"/>
      <c r="E28" s="1"/>
      <c r="F28" s="1"/>
      <c r="G28" s="1"/>
      <c r="H28" s="1"/>
      <c r="I28" s="1"/>
      <c r="J28" s="1"/>
      <c r="K28" s="1"/>
    </row>
    <row r="29" spans="1:11">
      <c r="A29" s="5" t="s">
        <v>50</v>
      </c>
      <c r="B29" s="5" t="s">
        <v>40</v>
      </c>
      <c r="C29" s="5" t="str">
        <f t="shared" si="0"/>
        <v>Подольский Сергей</v>
      </c>
      <c r="D29" s="1"/>
      <c r="E29" s="1"/>
      <c r="F29" s="1"/>
      <c r="G29" s="1"/>
      <c r="H29" s="1"/>
      <c r="I29" s="1"/>
      <c r="J29" s="1"/>
      <c r="K29" s="1"/>
    </row>
    <row r="30" spans="1:11">
      <c r="A30" s="5" t="s">
        <v>53</v>
      </c>
      <c r="B30" s="5" t="s">
        <v>54</v>
      </c>
      <c r="C30" s="5" t="str">
        <f t="shared" si="0"/>
        <v>Репяков Янис</v>
      </c>
      <c r="D30" s="1"/>
      <c r="E30" s="1"/>
      <c r="F30" s="1"/>
      <c r="G30" s="1"/>
      <c r="H30" s="1"/>
      <c r="I30" s="1"/>
      <c r="J30" s="1"/>
      <c r="K30" s="1"/>
    </row>
    <row r="31" spans="1:11">
      <c r="A31" s="5" t="s">
        <v>55</v>
      </c>
      <c r="B31" s="5" t="s">
        <v>20</v>
      </c>
      <c r="C31" s="5" t="str">
        <f t="shared" si="0"/>
        <v>Рублев Александр</v>
      </c>
      <c r="D31" s="1"/>
      <c r="E31" s="1"/>
      <c r="F31" s="1"/>
      <c r="G31" s="1"/>
      <c r="H31" s="1"/>
      <c r="I31" s="1"/>
      <c r="J31" s="1"/>
      <c r="K31" s="1"/>
    </row>
    <row r="32" spans="1:11">
      <c r="A32" s="5" t="s">
        <v>56</v>
      </c>
      <c r="B32" s="5" t="s">
        <v>57</v>
      </c>
      <c r="C32" s="5" t="str">
        <f t="shared" si="0"/>
        <v>Федорова Надежда</v>
      </c>
      <c r="D32" s="1"/>
      <c r="E32" s="1"/>
      <c r="F32" s="1"/>
      <c r="G32" s="1"/>
      <c r="H32" s="1"/>
      <c r="I32" s="1"/>
      <c r="J32" s="1"/>
      <c r="K32" s="1"/>
    </row>
    <row r="33" spans="1:10">
      <c r="A33" s="5" t="s">
        <v>58</v>
      </c>
      <c r="B33" s="5" t="s">
        <v>40</v>
      </c>
      <c r="C33" s="5" t="str">
        <f t="shared" si="0"/>
        <v>Шаров Сергей</v>
      </c>
      <c r="E33" s="1"/>
      <c r="F33" s="1"/>
      <c r="G33" s="1"/>
      <c r="H33" s="1"/>
      <c r="I33" s="1"/>
      <c r="J33" s="1"/>
    </row>
    <row r="34" spans="1:10">
      <c r="A34" s="5" t="s">
        <v>59</v>
      </c>
      <c r="B34" s="5" t="s">
        <v>60</v>
      </c>
      <c r="C34" s="5" t="str">
        <f t="shared" si="0"/>
        <v>Белоушка Марина</v>
      </c>
      <c r="E34" s="1"/>
    </row>
  </sheetData>
  <sheetProtection formatCells="0" formatColumns="0" formatRows="0" sort="0" autoFilter="0" pivotTables="0"/>
  <protectedRanges>
    <protectedRange sqref="C1:C34" name="Диапазон1"/>
  </protectedRanges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K34"/>
  <sheetViews>
    <sheetView workbookViewId="0"/>
  </sheetViews>
  <sheetFormatPr defaultColWidth="9.109375" defaultRowHeight="14.4"/>
  <cols>
    <col min="1" max="1" width="34.88671875" style="2" bestFit="1" customWidth="1"/>
    <col min="2" max="3" width="20.5546875" style="2" customWidth="1"/>
    <col min="4" max="4" width="3.44140625" style="2" customWidth="1"/>
    <col min="5" max="16384" width="9.109375" style="2"/>
  </cols>
  <sheetData>
    <row r="1" spans="1:10">
      <c r="A1" s="10" t="s">
        <v>61</v>
      </c>
      <c r="B1" s="10" t="s">
        <v>0</v>
      </c>
      <c r="C1" s="10" t="s">
        <v>258</v>
      </c>
      <c r="D1" s="1"/>
      <c r="E1" s="1"/>
      <c r="F1" s="1"/>
      <c r="G1" s="1"/>
      <c r="H1" s="1"/>
      <c r="I1" s="1"/>
      <c r="J1" s="1"/>
    </row>
    <row r="2" spans="1:10">
      <c r="A2" s="10" t="s">
        <v>1</v>
      </c>
      <c r="B2" s="10" t="s">
        <v>2</v>
      </c>
      <c r="C2" s="10" t="s">
        <v>259</v>
      </c>
      <c r="D2" s="1"/>
      <c r="E2" s="1"/>
      <c r="F2" s="1"/>
      <c r="G2" s="1"/>
      <c r="H2" s="1"/>
      <c r="I2" s="1"/>
      <c r="J2" s="1"/>
    </row>
    <row r="3" spans="1:10">
      <c r="A3" s="10" t="s">
        <v>4</v>
      </c>
      <c r="B3" s="10" t="s">
        <v>5</v>
      </c>
      <c r="C3" s="10" t="s">
        <v>260</v>
      </c>
      <c r="D3" s="1"/>
      <c r="E3" s="1"/>
      <c r="F3" s="1"/>
      <c r="G3" s="1"/>
      <c r="H3" s="1"/>
      <c r="I3" s="1"/>
      <c r="J3" s="1"/>
    </row>
    <row r="4" spans="1:10">
      <c r="A4" s="10" t="s">
        <v>7</v>
      </c>
      <c r="B4" s="10" t="s">
        <v>8</v>
      </c>
      <c r="C4" s="10" t="s">
        <v>261</v>
      </c>
      <c r="D4" s="1"/>
      <c r="E4" s="3" t="s">
        <v>62</v>
      </c>
      <c r="F4" s="1"/>
      <c r="G4" s="1"/>
      <c r="H4" s="1"/>
      <c r="I4" s="1"/>
      <c r="J4" s="1"/>
    </row>
    <row r="5" spans="1:10">
      <c r="A5" s="10" t="s">
        <v>10</v>
      </c>
      <c r="B5" s="10" t="s">
        <v>11</v>
      </c>
      <c r="C5" s="10" t="s">
        <v>259</v>
      </c>
      <c r="D5" s="1"/>
      <c r="E5" s="1"/>
      <c r="F5" s="1"/>
      <c r="G5" s="1"/>
      <c r="H5" s="1"/>
      <c r="I5" s="1"/>
      <c r="J5" s="1"/>
    </row>
    <row r="6" spans="1:10" ht="15.6">
      <c r="A6" s="10" t="s">
        <v>13</v>
      </c>
      <c r="B6" s="10" t="s">
        <v>14</v>
      </c>
      <c r="C6" s="10" t="s">
        <v>262</v>
      </c>
      <c r="D6" s="1"/>
      <c r="E6" s="7" t="s">
        <v>242</v>
      </c>
      <c r="F6" s="1"/>
      <c r="G6" s="1"/>
      <c r="H6" s="1"/>
      <c r="I6" s="1"/>
      <c r="J6" s="1"/>
    </row>
    <row r="7" spans="1:10">
      <c r="A7" s="10" t="s">
        <v>15</v>
      </c>
      <c r="B7" s="10" t="s">
        <v>2</v>
      </c>
      <c r="C7" s="10" t="s">
        <v>263</v>
      </c>
      <c r="D7" s="1"/>
      <c r="E7" s="3" t="s">
        <v>63</v>
      </c>
      <c r="F7" s="1"/>
      <c r="G7" s="1"/>
      <c r="H7" s="1"/>
      <c r="I7" s="1"/>
      <c r="J7" s="1"/>
    </row>
    <row r="8" spans="1:10">
      <c r="A8" s="11" t="s">
        <v>16</v>
      </c>
      <c r="B8" s="11" t="s">
        <v>17</v>
      </c>
      <c r="C8" s="10" t="s">
        <v>264</v>
      </c>
      <c r="D8" s="1"/>
      <c r="E8" s="3" t="s">
        <v>64</v>
      </c>
      <c r="F8" s="1"/>
      <c r="G8" s="1"/>
      <c r="H8" s="1"/>
      <c r="I8" s="1"/>
      <c r="J8" s="1"/>
    </row>
    <row r="9" spans="1:10">
      <c r="A9" s="10" t="s">
        <v>19</v>
      </c>
      <c r="B9" s="10" t="s">
        <v>20</v>
      </c>
      <c r="C9" s="10" t="s">
        <v>265</v>
      </c>
      <c r="D9" s="1"/>
      <c r="E9" s="3" t="s">
        <v>254</v>
      </c>
      <c r="F9" s="1"/>
      <c r="G9" s="1"/>
      <c r="H9" s="1"/>
      <c r="I9" s="1"/>
      <c r="J9" s="1"/>
    </row>
    <row r="10" spans="1:10">
      <c r="A10" s="10" t="s">
        <v>22</v>
      </c>
      <c r="B10" s="10" t="s">
        <v>23</v>
      </c>
      <c r="C10" s="10" t="s">
        <v>266</v>
      </c>
      <c r="D10" s="1"/>
      <c r="E10" s="1"/>
      <c r="F10" s="1"/>
      <c r="G10" s="1"/>
      <c r="H10" s="1"/>
      <c r="I10" s="1"/>
      <c r="J10" s="1"/>
    </row>
    <row r="11" spans="1:10">
      <c r="A11" s="11" t="s">
        <v>24</v>
      </c>
      <c r="B11" s="11" t="s">
        <v>25</v>
      </c>
      <c r="C11" s="10" t="s">
        <v>267</v>
      </c>
      <c r="D11" s="1"/>
      <c r="E11" s="1"/>
      <c r="F11" s="1"/>
      <c r="G11" s="1"/>
      <c r="H11" s="1"/>
      <c r="I11" s="1"/>
      <c r="J11" s="1"/>
    </row>
    <row r="12" spans="1:10">
      <c r="A12" s="10" t="s">
        <v>26</v>
      </c>
      <c r="B12" s="10" t="s">
        <v>27</v>
      </c>
      <c r="C12" s="10" t="s">
        <v>261</v>
      </c>
      <c r="D12" s="1"/>
      <c r="E12" s="1"/>
      <c r="F12" s="1"/>
      <c r="G12" s="1"/>
      <c r="H12" s="1"/>
      <c r="I12" s="1"/>
      <c r="J12" s="1"/>
    </row>
    <row r="13" spans="1:10">
      <c r="A13" s="11" t="s">
        <v>28</v>
      </c>
      <c r="B13" s="11" t="s">
        <v>29</v>
      </c>
      <c r="C13" s="10" t="s">
        <v>268</v>
      </c>
      <c r="D13" s="1"/>
      <c r="E13" s="1"/>
      <c r="F13" s="1"/>
      <c r="G13" s="1"/>
      <c r="H13" s="1"/>
      <c r="I13" s="1"/>
      <c r="J13" s="1"/>
    </row>
    <row r="14" spans="1:10">
      <c r="A14" s="10" t="s">
        <v>30</v>
      </c>
      <c r="B14" s="10" t="s">
        <v>2</v>
      </c>
      <c r="C14" s="10" t="s">
        <v>262</v>
      </c>
      <c r="D14" s="1"/>
      <c r="E14" s="1"/>
      <c r="F14" s="1"/>
      <c r="G14" s="1"/>
      <c r="H14" s="1"/>
      <c r="I14" s="1"/>
      <c r="J14" s="1"/>
    </row>
    <row r="15" spans="1:10">
      <c r="A15" s="10" t="s">
        <v>31</v>
      </c>
      <c r="B15" s="10" t="s">
        <v>32</v>
      </c>
      <c r="C15" s="12" t="s">
        <v>258</v>
      </c>
      <c r="D15" s="1"/>
      <c r="E15" s="1"/>
      <c r="F15" s="1"/>
      <c r="G15" s="1"/>
      <c r="H15" s="1"/>
      <c r="I15" s="1"/>
      <c r="J15" s="1"/>
    </row>
    <row r="16" spans="1:10">
      <c r="A16" s="11" t="s">
        <v>33</v>
      </c>
      <c r="B16" s="11" t="s">
        <v>34</v>
      </c>
      <c r="C16" s="10" t="s">
        <v>269</v>
      </c>
      <c r="D16" s="1"/>
      <c r="E16" s="1"/>
      <c r="F16" s="1"/>
      <c r="G16" s="1"/>
      <c r="H16" s="1"/>
      <c r="I16" s="1"/>
      <c r="J16" s="1"/>
    </row>
    <row r="17" spans="1:11">
      <c r="A17" s="10" t="s">
        <v>35</v>
      </c>
      <c r="B17" s="10" t="s">
        <v>11</v>
      </c>
      <c r="C17" s="10" t="s">
        <v>259</v>
      </c>
      <c r="D17" s="1"/>
      <c r="E17" s="1"/>
      <c r="F17" s="1"/>
      <c r="G17" s="1"/>
      <c r="H17" s="1"/>
      <c r="I17" s="1"/>
      <c r="J17" s="1"/>
      <c r="K17" s="1"/>
    </row>
    <row r="18" spans="1:11">
      <c r="A18" s="10" t="s">
        <v>36</v>
      </c>
      <c r="B18" s="10" t="s">
        <v>34</v>
      </c>
      <c r="C18" s="10" t="s">
        <v>269</v>
      </c>
      <c r="D18" s="1"/>
      <c r="E18" s="1"/>
      <c r="F18" s="1"/>
      <c r="G18" s="1"/>
      <c r="H18" s="1"/>
      <c r="I18" s="1"/>
      <c r="J18" s="1"/>
      <c r="K18" s="1"/>
    </row>
    <row r="19" spans="1:11">
      <c r="A19" s="10" t="s">
        <v>37</v>
      </c>
      <c r="B19" s="10" t="s">
        <v>38</v>
      </c>
      <c r="C19" s="10" t="s">
        <v>258</v>
      </c>
      <c r="D19" s="1"/>
      <c r="E19" s="9"/>
      <c r="F19" s="9"/>
      <c r="G19" s="9"/>
      <c r="H19" s="9"/>
      <c r="I19" s="9"/>
      <c r="J19" s="3"/>
      <c r="K19" s="1"/>
    </row>
    <row r="20" spans="1:11">
      <c r="A20" s="10" t="s">
        <v>39</v>
      </c>
      <c r="B20" s="10" t="s">
        <v>40</v>
      </c>
      <c r="C20" s="10" t="s">
        <v>266</v>
      </c>
      <c r="D20" s="1"/>
      <c r="E20" s="9"/>
      <c r="F20" s="9"/>
      <c r="G20" s="9"/>
      <c r="H20" s="9"/>
      <c r="I20" s="9"/>
      <c r="J20" s="1"/>
      <c r="K20" s="8"/>
    </row>
    <row r="21" spans="1:11">
      <c r="A21" s="10" t="s">
        <v>41</v>
      </c>
      <c r="B21" s="10" t="s">
        <v>34</v>
      </c>
      <c r="C21" s="10" t="s">
        <v>270</v>
      </c>
      <c r="D21" s="1"/>
      <c r="E21" s="9"/>
      <c r="F21" s="9"/>
      <c r="G21" s="9"/>
      <c r="H21" s="9"/>
      <c r="I21" s="9"/>
      <c r="J21" s="9"/>
      <c r="K21" s="1"/>
    </row>
    <row r="22" spans="1:11">
      <c r="A22" s="10" t="s">
        <v>41</v>
      </c>
      <c r="B22" s="10" t="s">
        <v>42</v>
      </c>
      <c r="C22" s="10" t="s">
        <v>271</v>
      </c>
      <c r="D22" s="1"/>
      <c r="E22" s="1"/>
      <c r="F22" s="1"/>
      <c r="G22" s="1"/>
      <c r="H22" s="1"/>
      <c r="I22" s="1"/>
      <c r="J22" s="9"/>
      <c r="K22" s="1"/>
    </row>
    <row r="23" spans="1:11">
      <c r="A23" s="10" t="s">
        <v>43</v>
      </c>
      <c r="B23" s="10" t="s">
        <v>44</v>
      </c>
      <c r="C23" s="10" t="s">
        <v>272</v>
      </c>
      <c r="D23" s="1"/>
      <c r="E23" s="1"/>
      <c r="F23" s="1"/>
      <c r="G23" s="1"/>
      <c r="H23" s="1"/>
      <c r="I23" s="1"/>
      <c r="J23" s="9"/>
      <c r="K23" s="1"/>
    </row>
    <row r="24" spans="1:11">
      <c r="A24" s="10" t="s">
        <v>45</v>
      </c>
      <c r="B24" s="10" t="s">
        <v>20</v>
      </c>
      <c r="C24" s="10" t="s">
        <v>260</v>
      </c>
      <c r="D24" s="1"/>
      <c r="E24" s="1"/>
      <c r="F24" s="1"/>
      <c r="G24" s="1"/>
      <c r="H24" s="1"/>
      <c r="I24" s="1"/>
      <c r="J24" s="1"/>
      <c r="K24" s="1"/>
    </row>
    <row r="25" spans="1:11">
      <c r="A25" s="10" t="s">
        <v>46</v>
      </c>
      <c r="B25" s="10" t="s">
        <v>47</v>
      </c>
      <c r="C25" s="10" t="s">
        <v>273</v>
      </c>
      <c r="D25" s="1"/>
      <c r="E25" s="1"/>
      <c r="F25" s="1"/>
      <c r="G25" s="1"/>
      <c r="H25" s="1"/>
      <c r="I25" s="1"/>
      <c r="J25" s="1"/>
      <c r="K25" s="1"/>
    </row>
    <row r="26" spans="1:11">
      <c r="A26" s="10" t="s">
        <v>48</v>
      </c>
      <c r="B26" s="10" t="s">
        <v>49</v>
      </c>
      <c r="C26" s="10" t="s">
        <v>270</v>
      </c>
      <c r="D26" s="1"/>
      <c r="E26" s="1"/>
      <c r="F26" s="1"/>
      <c r="G26" s="1"/>
      <c r="H26" s="1"/>
      <c r="I26" s="1"/>
      <c r="J26" s="1"/>
      <c r="K26" s="1"/>
    </row>
    <row r="27" spans="1:11">
      <c r="A27" s="13" t="s">
        <v>50</v>
      </c>
      <c r="B27" s="13" t="s">
        <v>51</v>
      </c>
      <c r="C27" s="13" t="s">
        <v>274</v>
      </c>
      <c r="D27" s="1"/>
      <c r="E27" s="1"/>
      <c r="F27" s="1"/>
      <c r="G27" s="1"/>
      <c r="H27" s="1"/>
      <c r="I27" s="1"/>
      <c r="J27" s="1"/>
      <c r="K27" s="1"/>
    </row>
    <row r="28" spans="1:11">
      <c r="A28" s="10" t="s">
        <v>50</v>
      </c>
      <c r="B28" s="10" t="s">
        <v>52</v>
      </c>
      <c r="C28" s="10" t="s">
        <v>275</v>
      </c>
      <c r="D28" s="1"/>
      <c r="E28" s="1"/>
      <c r="F28" s="1"/>
      <c r="G28" s="1"/>
      <c r="H28" s="1"/>
      <c r="I28" s="1"/>
      <c r="J28" s="1"/>
      <c r="K28" s="1"/>
    </row>
    <row r="29" spans="1:11">
      <c r="A29" s="10" t="s">
        <v>50</v>
      </c>
      <c r="B29" s="10" t="s">
        <v>40</v>
      </c>
      <c r="C29" s="10" t="s">
        <v>276</v>
      </c>
      <c r="D29" s="1"/>
      <c r="E29" s="1"/>
      <c r="F29" s="1"/>
      <c r="G29" s="1"/>
      <c r="H29" s="1"/>
      <c r="I29" s="1"/>
      <c r="J29" s="1"/>
      <c r="K29" s="1"/>
    </row>
    <row r="30" spans="1:11">
      <c r="A30" s="10" t="s">
        <v>53</v>
      </c>
      <c r="B30" s="10" t="s">
        <v>54</v>
      </c>
      <c r="C30" s="10" t="s">
        <v>270</v>
      </c>
      <c r="D30" s="1"/>
      <c r="J30" s="1"/>
      <c r="K30" s="1"/>
    </row>
    <row r="31" spans="1:11">
      <c r="A31" s="10" t="s">
        <v>55</v>
      </c>
      <c r="B31" s="10" t="s">
        <v>20</v>
      </c>
      <c r="C31" s="10" t="s">
        <v>277</v>
      </c>
      <c r="D31" s="1"/>
      <c r="J31" s="1"/>
      <c r="K31" s="1"/>
    </row>
    <row r="32" spans="1:11">
      <c r="A32" s="10" t="s">
        <v>56</v>
      </c>
      <c r="B32" s="10" t="s">
        <v>57</v>
      </c>
      <c r="C32" s="10" t="s">
        <v>258</v>
      </c>
      <c r="D32" s="1"/>
      <c r="K32" s="1"/>
    </row>
    <row r="33" spans="1:3">
      <c r="A33" s="10" t="s">
        <v>58</v>
      </c>
      <c r="B33" s="10" t="s">
        <v>40</v>
      </c>
      <c r="C33" s="10" t="s">
        <v>269</v>
      </c>
    </row>
    <row r="34" spans="1:3">
      <c r="A34" s="10" t="s">
        <v>59</v>
      </c>
      <c r="B34" s="10" t="s">
        <v>60</v>
      </c>
      <c r="C34" s="10" t="s">
        <v>259</v>
      </c>
    </row>
  </sheetData>
  <sheetProtection sort="0" autoFilter="0" pivotTables="0"/>
  <protectedRanges>
    <protectedRange sqref="A1:C34" name="Диапазон1"/>
  </protectedRanges>
  <phoneticPr fontId="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"/>
  <dimension ref="A1:I47"/>
  <sheetViews>
    <sheetView workbookViewId="0">
      <selection activeCell="A2" sqref="A2"/>
    </sheetView>
  </sheetViews>
  <sheetFormatPr defaultColWidth="9.109375" defaultRowHeight="14.4"/>
  <cols>
    <col min="1" max="1" width="21" style="43" bestFit="1" customWidth="1"/>
    <col min="2" max="16384" width="9.109375" style="43"/>
  </cols>
  <sheetData>
    <row r="1" spans="1:9">
      <c r="A1" s="1"/>
      <c r="B1" s="1"/>
      <c r="C1" s="1"/>
    </row>
    <row r="2" spans="1:9" ht="15.6">
      <c r="A2" s="82" t="s">
        <v>197</v>
      </c>
      <c r="B2" s="83" t="s">
        <v>215</v>
      </c>
      <c r="C2" s="83" t="s">
        <v>216</v>
      </c>
      <c r="D2" s="83" t="s">
        <v>217</v>
      </c>
      <c r="E2" s="83" t="s">
        <v>218</v>
      </c>
      <c r="F2" s="83" t="s">
        <v>219</v>
      </c>
      <c r="G2" s="83" t="s">
        <v>220</v>
      </c>
      <c r="I2" s="7" t="s">
        <v>114</v>
      </c>
    </row>
    <row r="3" spans="1:9">
      <c r="A3" s="80" t="s">
        <v>198</v>
      </c>
      <c r="B3" s="81">
        <v>95</v>
      </c>
      <c r="C3" s="81">
        <v>12</v>
      </c>
      <c r="D3" s="81">
        <v>12</v>
      </c>
      <c r="E3" s="81">
        <v>6</v>
      </c>
      <c r="F3" s="81">
        <v>3</v>
      </c>
      <c r="G3" s="81">
        <v>-12</v>
      </c>
    </row>
    <row r="4" spans="1:9">
      <c r="A4" s="78" t="s">
        <v>199</v>
      </c>
      <c r="B4" s="79">
        <v>65</v>
      </c>
      <c r="C4" s="79">
        <v>35</v>
      </c>
      <c r="D4" s="79">
        <v>64</v>
      </c>
      <c r="E4" s="79">
        <v>4</v>
      </c>
      <c r="F4" s="79">
        <v>8</v>
      </c>
      <c r="G4" s="79" t="s">
        <v>118</v>
      </c>
      <c r="I4" s="43" t="s">
        <v>196</v>
      </c>
    </row>
    <row r="5" spans="1:9">
      <c r="A5" s="78" t="s">
        <v>200</v>
      </c>
      <c r="B5" s="79">
        <v>12</v>
      </c>
      <c r="C5" s="79">
        <v>-12</v>
      </c>
      <c r="D5" s="79">
        <v>32</v>
      </c>
      <c r="E5" s="79">
        <v>8</v>
      </c>
      <c r="F5" s="79">
        <v>35</v>
      </c>
      <c r="G5" s="79" t="s">
        <v>119</v>
      </c>
      <c r="I5" s="43" t="s">
        <v>222</v>
      </c>
    </row>
    <row r="6" spans="1:9">
      <c r="A6" s="78" t="s">
        <v>120</v>
      </c>
      <c r="B6" s="79" t="s">
        <v>221</v>
      </c>
      <c r="C6" s="79">
        <v>75</v>
      </c>
      <c r="D6" s="79">
        <v>94</v>
      </c>
      <c r="E6" s="79">
        <v>1</v>
      </c>
      <c r="F6" s="79">
        <v>6</v>
      </c>
      <c r="G6" s="79" t="s">
        <v>121</v>
      </c>
      <c r="I6" s="43" t="s">
        <v>243</v>
      </c>
    </row>
    <row r="7" spans="1:9">
      <c r="A7" s="78" t="s">
        <v>201</v>
      </c>
      <c r="B7" s="79">
        <v>49</v>
      </c>
      <c r="C7" s="79">
        <v>12</v>
      </c>
      <c r="D7" s="79">
        <v>65</v>
      </c>
      <c r="E7" s="79">
        <v>3</v>
      </c>
      <c r="F7" s="79">
        <v>2</v>
      </c>
      <c r="G7" s="79">
        <v>12</v>
      </c>
    </row>
    <row r="8" spans="1:9">
      <c r="A8" s="78" t="s">
        <v>122</v>
      </c>
      <c r="B8" s="79">
        <v>65</v>
      </c>
      <c r="C8" s="79">
        <v>35</v>
      </c>
      <c r="D8" s="79">
        <v>12</v>
      </c>
      <c r="E8" s="79">
        <v>8</v>
      </c>
      <c r="F8" s="79">
        <v>75</v>
      </c>
      <c r="G8" s="79">
        <v>64</v>
      </c>
    </row>
    <row r="9" spans="1:9">
      <c r="A9" s="78" t="s">
        <v>123</v>
      </c>
      <c r="B9" s="79">
        <v>5</v>
      </c>
      <c r="C9" s="79">
        <v>64</v>
      </c>
      <c r="D9" s="79">
        <v>64</v>
      </c>
      <c r="E9" s="79">
        <v>35</v>
      </c>
      <c r="F9" s="79">
        <v>3</v>
      </c>
      <c r="G9" s="79">
        <v>32</v>
      </c>
    </row>
    <row r="10" spans="1:9">
      <c r="A10" s="78" t="s">
        <v>202</v>
      </c>
      <c r="B10" s="79">
        <v>95</v>
      </c>
      <c r="C10" s="79">
        <v>75</v>
      </c>
      <c r="D10" s="79">
        <v>32</v>
      </c>
      <c r="E10" s="79">
        <v>-12</v>
      </c>
      <c r="F10" s="79">
        <v>8</v>
      </c>
      <c r="G10" s="79">
        <v>94</v>
      </c>
    </row>
    <row r="11" spans="1:9">
      <c r="A11" s="78" t="s">
        <v>203</v>
      </c>
      <c r="B11" s="79">
        <v>1</v>
      </c>
      <c r="C11" s="79">
        <v>12</v>
      </c>
      <c r="D11" s="79">
        <v>94</v>
      </c>
      <c r="E11" s="79">
        <v>2</v>
      </c>
      <c r="F11" s="79">
        <v>35</v>
      </c>
      <c r="G11" s="79">
        <v>65</v>
      </c>
    </row>
    <row r="12" spans="1:9">
      <c r="A12" s="78" t="s">
        <v>204</v>
      </c>
      <c r="B12" s="79">
        <v>23</v>
      </c>
      <c r="C12" s="79">
        <v>35</v>
      </c>
      <c r="D12" s="79">
        <v>65</v>
      </c>
      <c r="E12" s="79">
        <v>36</v>
      </c>
      <c r="F12" s="79">
        <v>6</v>
      </c>
      <c r="G12" s="79" t="s">
        <v>124</v>
      </c>
    </row>
    <row r="13" spans="1:9">
      <c r="A13" s="78" t="s">
        <v>205</v>
      </c>
      <c r="B13" s="79">
        <v>5</v>
      </c>
      <c r="C13" s="79">
        <v>64</v>
      </c>
      <c r="D13" s="79">
        <v>75</v>
      </c>
      <c r="E13" s="79">
        <v>94</v>
      </c>
      <c r="F13" s="79">
        <v>2</v>
      </c>
      <c r="G13" s="79">
        <v>3</v>
      </c>
    </row>
    <row r="14" spans="1:9">
      <c r="A14" s="78" t="s">
        <v>206</v>
      </c>
      <c r="B14" s="79">
        <v>35</v>
      </c>
      <c r="C14" s="79">
        <v>75</v>
      </c>
      <c r="D14" s="79">
        <v>12</v>
      </c>
      <c r="E14" s="79">
        <v>65</v>
      </c>
      <c r="F14" s="79">
        <v>75</v>
      </c>
      <c r="G14" s="79">
        <v>8</v>
      </c>
    </row>
    <row r="15" spans="1:9">
      <c r="A15" s="78" t="s">
        <v>125</v>
      </c>
      <c r="B15" s="79">
        <v>-12</v>
      </c>
      <c r="C15" s="79">
        <v>12</v>
      </c>
      <c r="D15" s="79">
        <v>64</v>
      </c>
      <c r="E15" s="79">
        <v>3</v>
      </c>
      <c r="F15" s="79">
        <v>3</v>
      </c>
      <c r="G15" s="79">
        <v>35</v>
      </c>
    </row>
    <row r="16" spans="1:9">
      <c r="A16" s="78" t="s">
        <v>207</v>
      </c>
      <c r="B16" s="79">
        <v>1</v>
      </c>
      <c r="C16" s="79">
        <v>35</v>
      </c>
      <c r="D16" s="79">
        <v>32</v>
      </c>
      <c r="E16" s="79">
        <v>8</v>
      </c>
      <c r="F16" s="79">
        <v>8</v>
      </c>
      <c r="G16" s="79">
        <v>6</v>
      </c>
    </row>
    <row r="17" spans="1:7">
      <c r="A17" s="78" t="s">
        <v>208</v>
      </c>
      <c r="B17" s="79">
        <v>45</v>
      </c>
      <c r="C17" s="79">
        <v>64</v>
      </c>
      <c r="D17" s="79">
        <v>94</v>
      </c>
      <c r="E17" s="79">
        <v>35</v>
      </c>
      <c r="F17" s="79">
        <v>35</v>
      </c>
      <c r="G17" s="79">
        <v>3</v>
      </c>
    </row>
    <row r="18" spans="1:7">
      <c r="A18" s="78" t="s">
        <v>209</v>
      </c>
      <c r="B18" s="79">
        <v>68</v>
      </c>
      <c r="C18" s="79">
        <v>75</v>
      </c>
      <c r="D18" s="79">
        <v>65</v>
      </c>
      <c r="E18" s="79">
        <v>6</v>
      </c>
      <c r="F18" s="79">
        <v>6</v>
      </c>
      <c r="G18" s="79">
        <v>8</v>
      </c>
    </row>
    <row r="19" spans="1:7">
      <c r="A19" s="78" t="s">
        <v>210</v>
      </c>
      <c r="B19" s="79">
        <v>13</v>
      </c>
      <c r="C19" s="79">
        <v>12</v>
      </c>
      <c r="D19" s="79">
        <v>12</v>
      </c>
      <c r="E19" s="79">
        <v>2</v>
      </c>
      <c r="F19" s="79">
        <v>2</v>
      </c>
      <c r="G19" s="79">
        <v>-12</v>
      </c>
    </row>
    <row r="20" spans="1:7">
      <c r="A20" s="78" t="s">
        <v>211</v>
      </c>
      <c r="B20" s="79">
        <v>21</v>
      </c>
      <c r="C20" s="79">
        <v>35</v>
      </c>
      <c r="D20" s="79">
        <v>64</v>
      </c>
      <c r="E20" s="79">
        <v>11.27</v>
      </c>
      <c r="F20" s="79">
        <v>14</v>
      </c>
      <c r="G20" s="79">
        <v>6</v>
      </c>
    </row>
    <row r="21" spans="1:7">
      <c r="A21" s="78" t="s">
        <v>126</v>
      </c>
      <c r="B21" s="79">
        <v>56</v>
      </c>
      <c r="C21" s="79">
        <v>64</v>
      </c>
      <c r="D21" s="79">
        <v>-12</v>
      </c>
      <c r="E21" s="79">
        <v>12</v>
      </c>
      <c r="F21" s="79">
        <v>14.19</v>
      </c>
      <c r="G21" s="79">
        <v>2</v>
      </c>
    </row>
    <row r="22" spans="1:7">
      <c r="A22" s="78" t="s">
        <v>213</v>
      </c>
      <c r="B22" s="79">
        <v>14</v>
      </c>
      <c r="C22" s="79">
        <v>75</v>
      </c>
      <c r="D22" s="79">
        <v>94</v>
      </c>
      <c r="E22" s="79">
        <v>64</v>
      </c>
      <c r="F22" s="79">
        <v>12</v>
      </c>
      <c r="G22" s="79">
        <v>35</v>
      </c>
    </row>
    <row r="23" spans="1:7">
      <c r="A23" s="78" t="s">
        <v>212</v>
      </c>
      <c r="B23" s="79">
        <v>25</v>
      </c>
      <c r="C23" s="79">
        <v>12</v>
      </c>
      <c r="D23" s="79">
        <v>65</v>
      </c>
      <c r="E23" s="79">
        <v>32</v>
      </c>
      <c r="F23" s="79">
        <v>35</v>
      </c>
      <c r="G23" s="79">
        <v>6</v>
      </c>
    </row>
    <row r="24" spans="1:7">
      <c r="A24" s="78" t="s">
        <v>127</v>
      </c>
      <c r="B24" s="79">
        <v>95</v>
      </c>
      <c r="C24" s="79">
        <v>35</v>
      </c>
      <c r="D24" s="79">
        <v>12</v>
      </c>
      <c r="E24" s="79">
        <v>94</v>
      </c>
      <c r="F24" s="79">
        <v>64</v>
      </c>
      <c r="G24" s="79">
        <v>2</v>
      </c>
    </row>
    <row r="25" spans="1:7">
      <c r="A25" s="78" t="s">
        <v>128</v>
      </c>
      <c r="B25" s="79">
        <v>32</v>
      </c>
      <c r="C25" s="79">
        <v>64</v>
      </c>
      <c r="D25" s="79">
        <v>64</v>
      </c>
      <c r="E25" s="79">
        <v>65</v>
      </c>
      <c r="F25" s="79">
        <v>75</v>
      </c>
      <c r="G25" s="79">
        <v>35</v>
      </c>
    </row>
    <row r="26" spans="1:7">
      <c r="A26" s="78" t="s">
        <v>129</v>
      </c>
      <c r="B26" s="79">
        <v>65</v>
      </c>
      <c r="C26" s="79">
        <v>75</v>
      </c>
      <c r="D26" s="79">
        <v>32</v>
      </c>
      <c r="E26" s="79">
        <v>45</v>
      </c>
      <c r="F26" s="79">
        <v>15</v>
      </c>
      <c r="G26" s="79">
        <v>64</v>
      </c>
    </row>
    <row r="27" spans="1:7">
      <c r="A27" s="78" t="s">
        <v>130</v>
      </c>
      <c r="B27" s="79">
        <v>75</v>
      </c>
      <c r="C27" s="79">
        <v>48</v>
      </c>
      <c r="D27" s="79">
        <v>94</v>
      </c>
      <c r="E27" s="79">
        <v>12</v>
      </c>
      <c r="F27" s="79">
        <v>13</v>
      </c>
      <c r="G27" s="79">
        <v>75</v>
      </c>
    </row>
    <row r="28" spans="1:7">
      <c r="A28" s="78" t="s">
        <v>214</v>
      </c>
      <c r="B28" s="79">
        <v>13</v>
      </c>
      <c r="C28" s="79">
        <v>12</v>
      </c>
      <c r="D28" s="79">
        <v>65</v>
      </c>
      <c r="E28" s="79">
        <v>89</v>
      </c>
      <c r="F28" s="79">
        <v>4</v>
      </c>
      <c r="G28" s="79">
        <v>12</v>
      </c>
    </row>
    <row r="38" spans="1:1">
      <c r="A38" s="44"/>
    </row>
    <row r="39" spans="1:1">
      <c r="A39" s="45"/>
    </row>
    <row r="40" spans="1:1">
      <c r="A40" s="45"/>
    </row>
    <row r="41" spans="1:1">
      <c r="A41" s="45"/>
    </row>
    <row r="42" spans="1:1">
      <c r="A42" s="45"/>
    </row>
    <row r="43" spans="1:1">
      <c r="A43" s="45"/>
    </row>
    <row r="44" spans="1:1">
      <c r="A44" s="45"/>
    </row>
    <row r="46" spans="1:1">
      <c r="A46" s="46"/>
    </row>
    <row r="47" spans="1:1">
      <c r="A47" s="47"/>
    </row>
  </sheetData>
  <phoneticPr fontId="0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4"/>
  <dimension ref="A1:K20"/>
  <sheetViews>
    <sheetView workbookViewId="0">
      <selection activeCell="B1" sqref="B1"/>
    </sheetView>
  </sheetViews>
  <sheetFormatPr defaultColWidth="9.109375" defaultRowHeight="14.4"/>
  <cols>
    <col min="1" max="16384" width="9.109375" style="2"/>
  </cols>
  <sheetData>
    <row r="1" spans="1:4" ht="15" thickBot="1">
      <c r="A1" s="85">
        <v>29</v>
      </c>
      <c r="B1" s="99" cm="1">
        <f t="array" ref="B1">MIN(IF(A1:A20&lt;&gt;0,A1:A20,""))</f>
        <v>29</v>
      </c>
      <c r="C1" s="1"/>
      <c r="D1" s="1"/>
    </row>
    <row r="2" spans="1:4">
      <c r="A2" s="85">
        <v>181</v>
      </c>
      <c r="B2" s="1"/>
      <c r="C2" s="1"/>
      <c r="D2" s="1"/>
    </row>
    <row r="3" spans="1:4">
      <c r="A3" s="85">
        <v>62</v>
      </c>
      <c r="B3" s="1"/>
      <c r="C3" s="1"/>
      <c r="D3" s="1"/>
    </row>
    <row r="4" spans="1:4">
      <c r="A4" s="85">
        <v>115</v>
      </c>
      <c r="B4" s="1"/>
      <c r="C4" s="1"/>
      <c r="D4" s="3"/>
    </row>
    <row r="5" spans="1:4">
      <c r="A5" s="85">
        <v>80</v>
      </c>
      <c r="B5" s="1"/>
      <c r="C5" s="1"/>
      <c r="D5" s="3"/>
    </row>
    <row r="6" spans="1:4">
      <c r="A6" s="85">
        <v>0</v>
      </c>
      <c r="B6" s="1"/>
      <c r="C6" s="1"/>
      <c r="D6" s="1"/>
    </row>
    <row r="7" spans="1:4" ht="15.6">
      <c r="A7" s="85">
        <v>35</v>
      </c>
      <c r="B7" s="1"/>
      <c r="C7" s="1"/>
      <c r="D7" s="7" t="s">
        <v>244</v>
      </c>
    </row>
    <row r="8" spans="1:4">
      <c r="A8" s="86">
        <v>320</v>
      </c>
      <c r="B8" s="1"/>
      <c r="C8" s="1"/>
      <c r="D8" s="3" t="s">
        <v>110</v>
      </c>
    </row>
    <row r="9" spans="1:4">
      <c r="A9" s="85">
        <v>141</v>
      </c>
      <c r="B9" s="1"/>
      <c r="C9" s="1"/>
      <c r="D9" s="3" t="s">
        <v>111</v>
      </c>
    </row>
    <row r="10" spans="1:4">
      <c r="A10" s="85">
        <v>263</v>
      </c>
      <c r="B10" s="1"/>
      <c r="C10" s="1"/>
      <c r="D10" s="3" t="s">
        <v>112</v>
      </c>
    </row>
    <row r="11" spans="1:4">
      <c r="A11" s="85">
        <v>0</v>
      </c>
      <c r="B11" s="1"/>
      <c r="C11" s="1"/>
      <c r="D11" s="1"/>
    </row>
    <row r="12" spans="1:4">
      <c r="A12" s="86">
        <v>192</v>
      </c>
      <c r="B12" s="1"/>
      <c r="C12" s="1"/>
      <c r="D12" s="1"/>
    </row>
    <row r="13" spans="1:4">
      <c r="A13" s="86">
        <v>265</v>
      </c>
      <c r="B13" s="1"/>
      <c r="C13" s="1"/>
      <c r="D13" s="1"/>
    </row>
    <row r="14" spans="1:4">
      <c r="A14" s="85">
        <v>191</v>
      </c>
      <c r="B14" s="1"/>
      <c r="C14" s="1"/>
      <c r="D14" s="1"/>
    </row>
    <row r="15" spans="1:4">
      <c r="A15" s="85">
        <v>52</v>
      </c>
      <c r="B15" s="1"/>
      <c r="C15" s="1"/>
      <c r="D15" s="1"/>
    </row>
    <row r="16" spans="1:4">
      <c r="A16" s="85">
        <v>198</v>
      </c>
      <c r="B16" s="1"/>
      <c r="C16" s="1"/>
      <c r="D16" s="1"/>
    </row>
    <row r="17" spans="1:11">
      <c r="A17" s="85">
        <v>205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86">
        <v>456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85">
        <v>239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85">
        <v>145</v>
      </c>
      <c r="B20" s="1"/>
      <c r="C20" s="1"/>
      <c r="D20" s="1"/>
      <c r="E20" s="1"/>
      <c r="F20" s="1"/>
      <c r="G20" s="1"/>
      <c r="H20" s="1"/>
      <c r="I20" s="1"/>
      <c r="J20" s="1"/>
      <c r="K20" s="4"/>
    </row>
  </sheetData>
  <sheetProtection sort="0" autoFilter="0" pivotTables="0"/>
  <protectedRanges>
    <protectedRange sqref="B1" name="Диапазон1"/>
  </protectedRanges>
  <phoneticPr fontId="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5"/>
  <dimension ref="A1:AO767"/>
  <sheetViews>
    <sheetView workbookViewId="0">
      <selection activeCell="Q19" sqref="Q19"/>
    </sheetView>
  </sheetViews>
  <sheetFormatPr defaultRowHeight="14.4"/>
  <sheetData>
    <row r="1" spans="1:41" ht="15" thickBot="1">
      <c r="A1" s="23" t="s">
        <v>69</v>
      </c>
      <c r="B1" s="25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</row>
    <row r="2" spans="1:41" ht="15" thickBot="1">
      <c r="A2" s="23" t="s">
        <v>71</v>
      </c>
      <c r="B2" s="25">
        <v>1545.51</v>
      </c>
      <c r="C2" s="19"/>
      <c r="D2" s="19"/>
      <c r="E2" s="19"/>
      <c r="F2" s="19"/>
      <c r="G2" s="19"/>
      <c r="H2" s="19"/>
      <c r="I2" s="26"/>
      <c r="J2" s="19"/>
      <c r="K2" s="98">
        <f>SUMIF(A2:A51,"20.02.01",B2:B52)</f>
        <v>14064.35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</row>
    <row r="3" spans="1:41">
      <c r="A3" s="23" t="s">
        <v>71</v>
      </c>
      <c r="B3" s="24">
        <v>-126.23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</row>
    <row r="4" spans="1:41">
      <c r="A4" s="23" t="s">
        <v>71</v>
      </c>
      <c r="B4" s="24">
        <v>279.10000000000002</v>
      </c>
      <c r="C4" s="19"/>
      <c r="D4" s="19"/>
      <c r="E4" s="21" t="s">
        <v>73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</row>
    <row r="5" spans="1:41">
      <c r="A5" s="23" t="s">
        <v>71</v>
      </c>
      <c r="B5" s="24">
        <v>1462.53</v>
      </c>
      <c r="C5" s="19"/>
      <c r="D5" s="19"/>
      <c r="E5" s="21" t="s">
        <v>74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</row>
    <row r="6" spans="1:41">
      <c r="A6" s="23" t="s">
        <v>71</v>
      </c>
      <c r="B6" s="24">
        <v>-213.84</v>
      </c>
      <c r="C6" s="19"/>
      <c r="D6" s="19"/>
      <c r="E6" s="21" t="s">
        <v>75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</row>
    <row r="7" spans="1:41">
      <c r="A7" s="23" t="s">
        <v>71</v>
      </c>
      <c r="B7" s="24">
        <v>1315.75</v>
      </c>
      <c r="C7" s="19"/>
      <c r="D7" s="19"/>
      <c r="E7" s="21" t="s">
        <v>76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</row>
    <row r="8" spans="1:41">
      <c r="A8" s="23" t="s">
        <v>71</v>
      </c>
      <c r="B8" s="24">
        <v>698.5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</row>
    <row r="9" spans="1:41" ht="15.6">
      <c r="A9" s="23" t="s">
        <v>71</v>
      </c>
      <c r="B9" s="24">
        <v>187.39</v>
      </c>
      <c r="C9" s="19"/>
      <c r="D9" s="19"/>
      <c r="E9" s="41" t="s">
        <v>115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</row>
    <row r="10" spans="1:41">
      <c r="A10" s="23" t="s">
        <v>71</v>
      </c>
      <c r="B10" s="24">
        <v>286.62</v>
      </c>
      <c r="C10" s="19"/>
      <c r="D10" s="19"/>
      <c r="E10" s="21" t="s">
        <v>78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</row>
    <row r="11" spans="1:41">
      <c r="A11" s="23" t="s">
        <v>71</v>
      </c>
      <c r="B11" s="24">
        <v>624.45000000000005</v>
      </c>
      <c r="C11" s="19"/>
      <c r="D11" s="19"/>
      <c r="E11" s="21" t="s">
        <v>79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</row>
    <row r="12" spans="1:41">
      <c r="A12" s="23" t="s">
        <v>71</v>
      </c>
      <c r="B12" s="24">
        <v>792.35</v>
      </c>
      <c r="C12" s="19"/>
      <c r="D12" s="19"/>
      <c r="E12" s="21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</row>
    <row r="13" spans="1:41">
      <c r="A13" s="23" t="s">
        <v>71</v>
      </c>
      <c r="B13" s="24">
        <v>1243.07</v>
      </c>
      <c r="C13" s="19"/>
      <c r="D13" s="19"/>
      <c r="E13" s="27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</row>
    <row r="14" spans="1:41">
      <c r="A14" s="23" t="s">
        <v>71</v>
      </c>
      <c r="B14" s="24">
        <v>226.16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</row>
    <row r="15" spans="1:41">
      <c r="A15" s="23" t="s">
        <v>71</v>
      </c>
      <c r="B15" s="24">
        <v>191.04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</row>
    <row r="16" spans="1:41">
      <c r="A16" s="23" t="s">
        <v>71</v>
      </c>
      <c r="B16" s="24">
        <v>719.08</v>
      </c>
      <c r="C16" s="19"/>
      <c r="D16" s="19"/>
      <c r="E16" s="19"/>
      <c r="F16" s="28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</row>
    <row r="17" spans="1:41">
      <c r="A17" s="23" t="s">
        <v>71</v>
      </c>
      <c r="B17" s="24">
        <v>725.95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</row>
    <row r="18" spans="1:41">
      <c r="A18" s="23" t="s">
        <v>71</v>
      </c>
      <c r="B18" s="24">
        <v>566.07000000000005</v>
      </c>
      <c r="C18" s="19"/>
      <c r="D18" s="2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</row>
    <row r="19" spans="1:41">
      <c r="A19" s="23" t="s">
        <v>71</v>
      </c>
      <c r="B19" s="24">
        <v>908.22</v>
      </c>
      <c r="C19" s="19"/>
      <c r="D19" s="2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>
      <c r="A20" s="23" t="s">
        <v>71</v>
      </c>
      <c r="B20" s="24">
        <v>869.65</v>
      </c>
      <c r="C20" s="19"/>
      <c r="D20" s="19"/>
      <c r="E20" s="19"/>
      <c r="F20" s="19"/>
      <c r="G20" s="19"/>
      <c r="H20" s="19"/>
      <c r="I20" s="19"/>
      <c r="J20" s="21"/>
      <c r="K20" s="22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spans="1:41">
      <c r="A21" s="23" t="s">
        <v>71</v>
      </c>
      <c r="B21" s="24">
        <v>533.47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</row>
    <row r="22" spans="1:41">
      <c r="A22" s="23" t="s">
        <v>71</v>
      </c>
      <c r="B22" s="24">
        <v>527.77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</row>
    <row r="23" spans="1:41">
      <c r="A23" s="23" t="s">
        <v>71</v>
      </c>
      <c r="B23" s="24">
        <v>701.74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</row>
    <row r="24" spans="1:41">
      <c r="A24" s="23" t="s">
        <v>72</v>
      </c>
      <c r="B24" s="24">
        <v>591.5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</row>
    <row r="25" spans="1:41">
      <c r="A25" s="23" t="s">
        <v>72</v>
      </c>
      <c r="B25" s="24">
        <v>199.19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</row>
    <row r="26" spans="1:41">
      <c r="A26" s="23" t="s">
        <v>72</v>
      </c>
      <c r="B26" s="24">
        <v>235.62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</row>
    <row r="27" spans="1:41">
      <c r="A27" s="23" t="s">
        <v>72</v>
      </c>
      <c r="B27" s="24">
        <v>227.14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</row>
    <row r="28" spans="1:41">
      <c r="A28" s="23" t="s">
        <v>72</v>
      </c>
      <c r="B28" s="24">
        <v>585.78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</row>
    <row r="29" spans="1:41">
      <c r="A29" s="23" t="s">
        <v>72</v>
      </c>
      <c r="B29" s="24">
        <v>632.89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</row>
    <row r="30" spans="1:41">
      <c r="A30" s="23" t="s">
        <v>72</v>
      </c>
      <c r="B30" s="24">
        <v>368.66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</row>
    <row r="31" spans="1:41">
      <c r="A31" s="23" t="s">
        <v>72</v>
      </c>
      <c r="B31" s="24">
        <v>564.02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</row>
    <row r="32" spans="1:41">
      <c r="A32" s="23" t="s">
        <v>72</v>
      </c>
      <c r="B32" s="24">
        <v>570.72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</row>
    <row r="33" spans="1:41">
      <c r="A33" s="23" t="s">
        <v>72</v>
      </c>
      <c r="B33" s="24">
        <v>679.32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</row>
    <row r="34" spans="1:41">
      <c r="A34" s="23" t="s">
        <v>72</v>
      </c>
      <c r="B34" s="24">
        <v>539.35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</row>
    <row r="35" spans="1:41">
      <c r="A35" s="23" t="s">
        <v>72</v>
      </c>
      <c r="B35" s="24">
        <v>667.18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</row>
    <row r="36" spans="1:41">
      <c r="A36" s="23" t="s">
        <v>72</v>
      </c>
      <c r="B36" s="24">
        <v>1116.8699999999999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</row>
    <row r="37" spans="1:41">
      <c r="A37" s="23" t="s">
        <v>72</v>
      </c>
      <c r="B37" s="24">
        <v>515.16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</row>
    <row r="38" spans="1:41">
      <c r="A38" s="23" t="s">
        <v>72</v>
      </c>
      <c r="B38" s="24">
        <v>715.19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</row>
    <row r="39" spans="1:41">
      <c r="A39" s="23" t="s">
        <v>72</v>
      </c>
      <c r="B39" s="24">
        <v>833.47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</row>
    <row r="40" spans="1:41">
      <c r="A40" s="23" t="s">
        <v>72</v>
      </c>
      <c r="B40" s="24">
        <v>1015.18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</row>
    <row r="41" spans="1:41">
      <c r="A41" s="23" t="s">
        <v>72</v>
      </c>
      <c r="B41" s="24">
        <v>1259.8699999999999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</row>
    <row r="42" spans="1:41">
      <c r="A42" s="23" t="s">
        <v>72</v>
      </c>
      <c r="B42" s="24">
        <v>579.17999999999995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</row>
    <row r="43" spans="1:41">
      <c r="A43" s="23" t="s">
        <v>72</v>
      </c>
      <c r="B43" s="24">
        <v>1133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</row>
    <row r="44" spans="1:41">
      <c r="A44" s="23" t="s">
        <v>72</v>
      </c>
      <c r="B44" s="24">
        <v>300.64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</row>
    <row r="45" spans="1:41">
      <c r="A45" s="23" t="s">
        <v>72</v>
      </c>
      <c r="B45" s="24">
        <v>299.33999999999997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</row>
    <row r="46" spans="1:41">
      <c r="A46" s="23" t="s">
        <v>72</v>
      </c>
      <c r="B46" s="24">
        <v>562.70000000000005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</row>
    <row r="47" spans="1:41">
      <c r="A47" s="23" t="s">
        <v>72</v>
      </c>
      <c r="B47" s="24">
        <v>218.43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</row>
    <row r="48" spans="1:41">
      <c r="A48" s="23" t="s">
        <v>72</v>
      </c>
      <c r="B48" s="24">
        <v>259.82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</row>
    <row r="49" spans="1:41">
      <c r="A49" s="23" t="s">
        <v>72</v>
      </c>
      <c r="B49" s="24">
        <v>506.2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</row>
    <row r="50" spans="1:41">
      <c r="A50" s="23" t="s">
        <v>72</v>
      </c>
      <c r="B50" s="24">
        <v>818.15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</row>
    <row r="51" spans="1:41">
      <c r="A51" s="23" t="s">
        <v>72</v>
      </c>
      <c r="B51" s="24">
        <v>1249.98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</row>
    <row r="52" spans="1:41">
      <c r="A52" s="23" t="s">
        <v>72</v>
      </c>
      <c r="B52" s="24">
        <v>31308.900000000012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</row>
    <row r="53" spans="1:41">
      <c r="A53" s="17"/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</row>
    <row r="54" spans="1:41">
      <c r="A54" s="17"/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</row>
    <row r="55" spans="1:41">
      <c r="A55" s="17"/>
      <c r="B55" s="18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</row>
    <row r="56" spans="1:41">
      <c r="A56" s="17"/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</row>
    <row r="57" spans="1:41">
      <c r="A57" s="17"/>
      <c r="B57" s="18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</row>
    <row r="58" spans="1:41">
      <c r="A58" s="17"/>
      <c r="B58" s="18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</row>
    <row r="59" spans="1:41">
      <c r="A59" s="17"/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</row>
    <row r="60" spans="1:41">
      <c r="A60" s="17"/>
      <c r="B60" s="18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</row>
    <row r="61" spans="1:41">
      <c r="A61" s="17"/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</row>
    <row r="62" spans="1:41">
      <c r="A62" s="17"/>
      <c r="B62" s="18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</row>
    <row r="63" spans="1:41">
      <c r="A63" s="17"/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</row>
    <row r="64" spans="1:41">
      <c r="A64" s="17"/>
      <c r="B64" s="18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</row>
    <row r="65" spans="1:41">
      <c r="A65" s="17"/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</row>
    <row r="66" spans="1:41">
      <c r="A66" s="17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</row>
    <row r="67" spans="1:41">
      <c r="A67" s="17"/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</row>
    <row r="68" spans="1:41">
      <c r="A68" s="17"/>
      <c r="B68" s="18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</row>
    <row r="69" spans="1:41">
      <c r="A69" s="17"/>
      <c r="B69" s="18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</row>
    <row r="70" spans="1:41">
      <c r="A70" s="17"/>
      <c r="B70" s="18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</row>
    <row r="71" spans="1:41">
      <c r="A71" s="17"/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</row>
    <row r="72" spans="1:41">
      <c r="A72" s="17"/>
      <c r="B72" s="18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</row>
    <row r="73" spans="1:41">
      <c r="A73" s="17"/>
      <c r="B73" s="18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</row>
    <row r="74" spans="1:41">
      <c r="A74" s="17"/>
      <c r="B74" s="18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</row>
    <row r="75" spans="1:41">
      <c r="A75" s="17"/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</row>
    <row r="76" spans="1:41">
      <c r="A76" s="17"/>
      <c r="B76" s="18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</row>
    <row r="77" spans="1:41">
      <c r="A77" s="17"/>
      <c r="B77" s="18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</row>
    <row r="78" spans="1:41">
      <c r="A78" s="17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</row>
    <row r="79" spans="1:41">
      <c r="A79" s="17"/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</row>
    <row r="80" spans="1:41">
      <c r="A80" s="17"/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</row>
    <row r="81" spans="1:19">
      <c r="A81" s="17"/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</row>
    <row r="82" spans="1:19">
      <c r="A82" s="17"/>
      <c r="B82" s="18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</row>
    <row r="83" spans="1:19">
      <c r="A83" s="17"/>
      <c r="B83" s="18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</row>
    <row r="84" spans="1:19">
      <c r="A84" s="17"/>
      <c r="B84" s="18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</row>
    <row r="85" spans="1:19">
      <c r="A85" s="17"/>
      <c r="B85" s="18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  <row r="86" spans="1:19">
      <c r="A86" s="17"/>
      <c r="B86" s="18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</row>
    <row r="87" spans="1:19">
      <c r="A87" s="17"/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</row>
    <row r="88" spans="1:19">
      <c r="A88" s="17"/>
      <c r="B88" s="18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</row>
    <row r="89" spans="1:19">
      <c r="A89" s="17"/>
      <c r="B89" s="18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</row>
    <row r="90" spans="1:19">
      <c r="A90" s="17"/>
      <c r="B90" s="18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</row>
    <row r="91" spans="1:19">
      <c r="A91" s="17"/>
      <c r="B91" s="18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</row>
    <row r="92" spans="1:19">
      <c r="A92" s="17"/>
      <c r="B92" s="18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</row>
    <row r="93" spans="1:19">
      <c r="A93" s="17"/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</row>
    <row r="94" spans="1:19">
      <c r="A94" s="17"/>
      <c r="B94" s="18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 spans="1:19">
      <c r="A95" s="17"/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</row>
    <row r="96" spans="1:19">
      <c r="A96" s="17"/>
      <c r="B96" s="18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</row>
    <row r="97" spans="1:19">
      <c r="A97" s="17"/>
      <c r="B97" s="18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</row>
    <row r="98" spans="1:19">
      <c r="A98" s="17"/>
      <c r="B98" s="18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</row>
    <row r="99" spans="1:19">
      <c r="A99" s="17"/>
      <c r="B99" s="18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</row>
    <row r="100" spans="1:19">
      <c r="A100" s="17"/>
      <c r="B100" s="18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</row>
    <row r="101" spans="1:19">
      <c r="A101" s="17"/>
      <c r="B101" s="18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</row>
    <row r="102" spans="1:19">
      <c r="A102" s="17"/>
      <c r="B102" s="18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</row>
    <row r="103" spans="1:19">
      <c r="A103" s="17"/>
      <c r="B103" s="18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 spans="1:19">
      <c r="A104" s="17"/>
      <c r="B104" s="18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</row>
    <row r="105" spans="1:19">
      <c r="A105" s="17"/>
      <c r="B105" s="18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</row>
    <row r="106" spans="1:19">
      <c r="A106" s="17"/>
      <c r="B106" s="18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</row>
    <row r="107" spans="1:19">
      <c r="A107" s="17"/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</row>
    <row r="108" spans="1:19">
      <c r="A108" s="17"/>
      <c r="B108" s="18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</row>
    <row r="109" spans="1:19">
      <c r="A109" s="17"/>
      <c r="B109" s="18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</row>
    <row r="110" spans="1:19">
      <c r="A110" s="17"/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  <row r="111" spans="1:19">
      <c r="A111" s="17"/>
      <c r="B111" s="18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</row>
    <row r="112" spans="1:19">
      <c r="A112" s="17"/>
      <c r="B112" s="18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</row>
    <row r="113" spans="1:19">
      <c r="A113" s="17"/>
      <c r="B113" s="18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</row>
    <row r="114" spans="1:19">
      <c r="A114" s="17"/>
      <c r="B114" s="18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</row>
    <row r="115" spans="1:19">
      <c r="A115" s="17"/>
      <c r="B115" s="18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</row>
    <row r="116" spans="1:19">
      <c r="A116" s="17"/>
      <c r="B116" s="18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</row>
    <row r="117" spans="1:19">
      <c r="A117" s="17"/>
      <c r="B117" s="18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</row>
    <row r="118" spans="1:19">
      <c r="A118" s="17"/>
      <c r="B118" s="18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</row>
    <row r="119" spans="1:19">
      <c r="A119" s="17"/>
      <c r="B119" s="18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</row>
    <row r="120" spans="1:19">
      <c r="A120" s="17"/>
      <c r="B120" s="18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</row>
    <row r="121" spans="1:19">
      <c r="A121" s="17"/>
      <c r="B121" s="18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</row>
    <row r="122" spans="1:19">
      <c r="A122" s="17"/>
      <c r="B122" s="18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</row>
    <row r="123" spans="1:19">
      <c r="A123" s="17"/>
      <c r="B123" s="18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</row>
    <row r="124" spans="1:19">
      <c r="A124" s="17"/>
      <c r="B124" s="18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</row>
    <row r="125" spans="1:19">
      <c r="A125" s="17"/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</row>
    <row r="126" spans="1:19">
      <c r="A126" s="17"/>
      <c r="B126" s="18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</row>
    <row r="127" spans="1:19">
      <c r="A127" s="17"/>
      <c r="B127" s="18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</row>
    <row r="128" spans="1:19">
      <c r="A128" s="17"/>
      <c r="B128" s="18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</row>
    <row r="129" spans="1:19">
      <c r="A129" s="17"/>
      <c r="B129" s="18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</row>
    <row r="130" spans="1:19">
      <c r="A130" s="17"/>
      <c r="B130" s="18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</row>
    <row r="131" spans="1:19">
      <c r="A131" s="17"/>
      <c r="B131" s="18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</row>
    <row r="132" spans="1:19">
      <c r="A132" s="17"/>
      <c r="B132" s="18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</row>
    <row r="133" spans="1:19">
      <c r="A133" s="17"/>
      <c r="B133" s="18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</row>
    <row r="134" spans="1:19">
      <c r="A134" s="17"/>
      <c r="B134" s="18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</row>
    <row r="135" spans="1:19">
      <c r="A135" s="17"/>
      <c r="B135" s="18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</row>
    <row r="136" spans="1:19">
      <c r="A136" s="17"/>
      <c r="B136" s="18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</row>
    <row r="137" spans="1:19">
      <c r="A137" s="17"/>
      <c r="B137" s="18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</row>
    <row r="138" spans="1:19">
      <c r="A138" s="17"/>
      <c r="B138" s="18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</row>
    <row r="139" spans="1:19">
      <c r="A139" s="17"/>
      <c r="B139" s="18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</row>
    <row r="140" spans="1:19">
      <c r="A140" s="17"/>
      <c r="B140" s="18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</row>
    <row r="141" spans="1:19">
      <c r="A141" s="17"/>
      <c r="B141" s="18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</row>
    <row r="142" spans="1:19">
      <c r="A142" s="17"/>
      <c r="B142" s="18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</row>
    <row r="143" spans="1:19">
      <c r="A143" s="17"/>
      <c r="B143" s="18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</row>
    <row r="144" spans="1:19">
      <c r="A144" s="17"/>
      <c r="B144" s="18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</row>
    <row r="145" spans="1:19">
      <c r="A145" s="17"/>
      <c r="B145" s="18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</row>
    <row r="146" spans="1:19">
      <c r="A146" s="17"/>
      <c r="B146" s="18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</row>
    <row r="147" spans="1:19">
      <c r="A147" s="17"/>
      <c r="B147" s="18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</row>
    <row r="148" spans="1:19">
      <c r="A148" s="17"/>
      <c r="B148" s="18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</row>
    <row r="149" spans="1:19">
      <c r="A149" s="17"/>
      <c r="B149" s="18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</row>
    <row r="150" spans="1:19">
      <c r="A150" s="17"/>
      <c r="B150" s="18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</row>
    <row r="151" spans="1:19">
      <c r="A151" s="17"/>
      <c r="B151" s="18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</row>
    <row r="152" spans="1:19">
      <c r="A152" s="17"/>
      <c r="B152" s="18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</row>
    <row r="153" spans="1:19">
      <c r="A153" s="17"/>
      <c r="B153" s="18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</row>
    <row r="154" spans="1:19">
      <c r="A154" s="17"/>
      <c r="B154" s="18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</row>
    <row r="155" spans="1:19">
      <c r="A155" s="17"/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</row>
    <row r="156" spans="1:19">
      <c r="A156" s="17"/>
      <c r="B156" s="18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</row>
    <row r="157" spans="1:19">
      <c r="A157" s="17"/>
      <c r="B157" s="18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</row>
    <row r="158" spans="1:19">
      <c r="A158" s="17"/>
      <c r="B158" s="18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</row>
    <row r="159" spans="1:19">
      <c r="A159" s="17"/>
      <c r="B159" s="18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</row>
    <row r="160" spans="1:19">
      <c r="A160" s="17"/>
      <c r="B160" s="18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</row>
    <row r="161" spans="1:19">
      <c r="A161" s="17"/>
      <c r="B161" s="18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</row>
    <row r="162" spans="1:19">
      <c r="A162" s="17"/>
      <c r="B162" s="18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</row>
    <row r="163" spans="1:19">
      <c r="A163" s="17"/>
      <c r="B163" s="18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</row>
    <row r="164" spans="1:19">
      <c r="A164" s="17"/>
      <c r="B164" s="18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</row>
    <row r="165" spans="1:19">
      <c r="A165" s="17"/>
      <c r="B165" s="18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</row>
    <row r="166" spans="1:19">
      <c r="A166" s="17"/>
      <c r="B166" s="18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</row>
    <row r="167" spans="1:19">
      <c r="A167" s="17"/>
      <c r="B167" s="18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</row>
    <row r="168" spans="1:19">
      <c r="A168" s="17"/>
      <c r="B168" s="18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</row>
    <row r="169" spans="1:19">
      <c r="A169" s="17"/>
      <c r="B169" s="18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</row>
    <row r="170" spans="1:19">
      <c r="A170" s="17"/>
      <c r="B170" s="18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</row>
    <row r="171" spans="1:19">
      <c r="A171" s="17"/>
      <c r="B171" s="18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</row>
    <row r="172" spans="1:19">
      <c r="A172" s="17"/>
      <c r="B172" s="18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</row>
    <row r="173" spans="1:19">
      <c r="A173" s="17"/>
      <c r="B173" s="18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</row>
    <row r="174" spans="1:19">
      <c r="A174" s="17"/>
      <c r="B174" s="18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</row>
    <row r="175" spans="1:19">
      <c r="A175" s="17"/>
      <c r="B175" s="18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</row>
    <row r="176" spans="1:19">
      <c r="A176" s="17"/>
      <c r="B176" s="18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</row>
    <row r="177" spans="1:19">
      <c r="A177" s="17"/>
      <c r="B177" s="18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</row>
    <row r="178" spans="1:19">
      <c r="A178" s="17"/>
      <c r="B178" s="18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</row>
    <row r="179" spans="1:19">
      <c r="A179" s="17"/>
      <c r="B179" s="18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</row>
    <row r="180" spans="1:19">
      <c r="A180" s="17"/>
      <c r="B180" s="18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</row>
    <row r="181" spans="1:19">
      <c r="A181" s="17"/>
      <c r="B181" s="18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</row>
    <row r="182" spans="1:19">
      <c r="A182" s="17"/>
      <c r="B182" s="18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</row>
    <row r="183" spans="1:19">
      <c r="A183" s="17"/>
      <c r="B183" s="18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</row>
    <row r="184" spans="1:19">
      <c r="A184" s="17"/>
      <c r="B184" s="18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</row>
    <row r="185" spans="1:19">
      <c r="A185" s="17"/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spans="1:19">
      <c r="A186" s="17"/>
      <c r="B186" s="18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spans="1:19">
      <c r="A187" s="17"/>
      <c r="B187" s="18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spans="1:19">
      <c r="A188" s="17"/>
      <c r="B188" s="18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19">
      <c r="A189" s="17"/>
      <c r="B189" s="18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19">
      <c r="A190" s="17"/>
      <c r="B190" s="18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19">
      <c r="A191" s="17"/>
      <c r="B191" s="18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19">
      <c r="A192" s="17"/>
      <c r="B192" s="18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19">
      <c r="A193" s="17"/>
      <c r="B193" s="18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19">
      <c r="A194" s="17"/>
      <c r="B194" s="18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19">
      <c r="A195" s="17"/>
      <c r="B195" s="18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19">
      <c r="A196" s="17"/>
      <c r="B196" s="18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19">
      <c r="A197" s="17"/>
      <c r="B197" s="18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  <row r="198" spans="1:19">
      <c r="A198" s="17"/>
      <c r="B198" s="18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</row>
    <row r="199" spans="1:19">
      <c r="A199" s="17"/>
      <c r="B199" s="18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</row>
    <row r="200" spans="1:19">
      <c r="A200" s="17"/>
      <c r="B200" s="18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</row>
    <row r="201" spans="1:19">
      <c r="A201" s="17"/>
      <c r="B201" s="18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</row>
    <row r="202" spans="1:19">
      <c r="A202" s="17"/>
      <c r="B202" s="18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</row>
    <row r="203" spans="1:19">
      <c r="A203" s="17"/>
      <c r="B203" s="18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</row>
    <row r="204" spans="1:19">
      <c r="A204" s="17"/>
      <c r="B204" s="18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</row>
    <row r="205" spans="1:19">
      <c r="A205" s="17"/>
      <c r="B205" s="18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</row>
    <row r="206" spans="1:19">
      <c r="A206" s="17"/>
      <c r="B206" s="18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</row>
    <row r="207" spans="1:19">
      <c r="A207" s="17"/>
      <c r="B207" s="18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</row>
    <row r="208" spans="1:19">
      <c r="A208" s="17"/>
      <c r="B208" s="18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</row>
    <row r="209" spans="1:19">
      <c r="A209" s="17"/>
      <c r="B209" s="18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</row>
    <row r="210" spans="1:19">
      <c r="A210" s="17"/>
      <c r="B210" s="18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</row>
    <row r="211" spans="1:19">
      <c r="A211" s="17"/>
      <c r="B211" s="18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</row>
    <row r="212" spans="1:19">
      <c r="A212" s="17"/>
      <c r="B212" s="18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 spans="1:19">
      <c r="A213" s="17"/>
      <c r="B213" s="18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 spans="1:19">
      <c r="A214" s="17"/>
      <c r="B214" s="18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 spans="1:19">
      <c r="A215" s="17"/>
      <c r="B215" s="18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 spans="1:19">
      <c r="A216" s="17"/>
      <c r="B216" s="18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 spans="1:19">
      <c r="A217" s="17"/>
      <c r="B217" s="18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  <row r="218" spans="1:19">
      <c r="A218" s="17"/>
      <c r="B218" s="18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</row>
    <row r="219" spans="1:19">
      <c r="A219" s="17"/>
      <c r="B219" s="18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</row>
    <row r="220" spans="1:19">
      <c r="A220" s="17"/>
      <c r="B220" s="18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</row>
    <row r="221" spans="1:19">
      <c r="A221" s="17"/>
      <c r="B221" s="18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</row>
    <row r="222" spans="1:19">
      <c r="A222" s="17"/>
      <c r="B222" s="18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</row>
    <row r="223" spans="1:19">
      <c r="A223" s="17"/>
      <c r="B223" s="18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</row>
    <row r="224" spans="1:19">
      <c r="A224" s="17"/>
      <c r="B224" s="18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</row>
    <row r="225" spans="1:19">
      <c r="A225" s="17"/>
      <c r="B225" s="18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</row>
    <row r="226" spans="1:19">
      <c r="A226" s="17"/>
      <c r="B226" s="18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</row>
    <row r="227" spans="1:19">
      <c r="A227" s="17"/>
      <c r="B227" s="18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</row>
    <row r="228" spans="1:19">
      <c r="A228" s="17"/>
      <c r="B228" s="18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</row>
    <row r="229" spans="1:19">
      <c r="A229" s="17"/>
      <c r="B229" s="18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</row>
    <row r="230" spans="1:19">
      <c r="A230" s="17"/>
      <c r="B230" s="18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</row>
    <row r="231" spans="1:19">
      <c r="A231" s="17"/>
      <c r="B231" s="18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</row>
    <row r="232" spans="1:19">
      <c r="A232" s="17"/>
      <c r="B232" s="18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</row>
    <row r="233" spans="1:19">
      <c r="A233" s="17"/>
      <c r="B233" s="18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</row>
    <row r="234" spans="1:19">
      <c r="A234" s="17"/>
      <c r="B234" s="18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</row>
    <row r="235" spans="1:19">
      <c r="A235" s="17"/>
      <c r="B235" s="18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</row>
    <row r="236" spans="1:19">
      <c r="A236" s="17"/>
      <c r="B236" s="18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</row>
    <row r="237" spans="1:19">
      <c r="A237" s="17"/>
      <c r="B237" s="18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</row>
    <row r="238" spans="1:19">
      <c r="A238" s="17"/>
      <c r="B238" s="18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</row>
    <row r="239" spans="1:19">
      <c r="A239" s="17"/>
      <c r="B239" s="18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</row>
    <row r="240" spans="1:19">
      <c r="A240" s="17"/>
      <c r="B240" s="18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</row>
    <row r="241" spans="1:19">
      <c r="A241" s="17"/>
      <c r="B241" s="18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</row>
    <row r="242" spans="1:19">
      <c r="A242" s="17"/>
      <c r="B242" s="18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</row>
    <row r="243" spans="1:19">
      <c r="A243" s="17"/>
      <c r="B243" s="18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</row>
    <row r="244" spans="1:19">
      <c r="A244" s="17"/>
      <c r="B244" s="18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</row>
    <row r="245" spans="1:19">
      <c r="A245" s="17"/>
      <c r="B245" s="18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</row>
    <row r="246" spans="1:19">
      <c r="A246" s="17"/>
      <c r="B246" s="18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</row>
    <row r="247" spans="1:19">
      <c r="A247" s="17"/>
      <c r="B247" s="18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</row>
    <row r="248" spans="1:19">
      <c r="A248" s="17"/>
      <c r="B248" s="18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</row>
    <row r="249" spans="1:19">
      <c r="A249" s="17"/>
      <c r="B249" s="18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</row>
    <row r="250" spans="1:19">
      <c r="A250" s="17"/>
      <c r="B250" s="18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</row>
    <row r="251" spans="1:19">
      <c r="A251" s="17"/>
      <c r="B251" s="18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</row>
    <row r="252" spans="1:19">
      <c r="A252" s="17"/>
      <c r="B252" s="18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</row>
    <row r="253" spans="1:19">
      <c r="A253" s="17"/>
      <c r="B253" s="18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</row>
    <row r="254" spans="1:19">
      <c r="A254" s="17"/>
      <c r="B254" s="18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19">
      <c r="A255" s="17"/>
      <c r="B255" s="18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19">
      <c r="A256" s="17"/>
      <c r="B256" s="18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19">
      <c r="A257" s="17"/>
      <c r="B257" s="18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19">
      <c r="A258" s="17"/>
      <c r="B258" s="18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19">
      <c r="A259" s="17"/>
      <c r="B259" s="18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  <row r="260" spans="1:19">
      <c r="A260" s="17"/>
      <c r="B260" s="18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</row>
    <row r="261" spans="1:19">
      <c r="A261" s="17"/>
      <c r="B261" s="18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</row>
    <row r="262" spans="1:19">
      <c r="A262" s="17"/>
      <c r="B262" s="18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</row>
    <row r="263" spans="1:19">
      <c r="A263" s="17"/>
      <c r="B263" s="18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</row>
    <row r="264" spans="1:19">
      <c r="A264" s="17"/>
      <c r="B264" s="18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</row>
    <row r="265" spans="1:19">
      <c r="A265" s="17"/>
      <c r="B265" s="18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</row>
    <row r="266" spans="1:19">
      <c r="A266" s="17"/>
      <c r="B266" s="18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</row>
    <row r="267" spans="1:19">
      <c r="A267" s="17"/>
      <c r="B267" s="18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</row>
    <row r="268" spans="1:19">
      <c r="A268" s="17"/>
      <c r="B268" s="18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</row>
    <row r="269" spans="1:19">
      <c r="A269" s="17"/>
      <c r="B269" s="18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</row>
    <row r="270" spans="1:19">
      <c r="A270" s="17"/>
      <c r="B270" s="18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</row>
    <row r="271" spans="1:19">
      <c r="A271" s="17"/>
      <c r="B271" s="18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</row>
    <row r="272" spans="1:19">
      <c r="A272" s="17"/>
      <c r="B272" s="18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</row>
    <row r="273" spans="1:19">
      <c r="A273" s="17"/>
      <c r="B273" s="18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</row>
    <row r="274" spans="1:19">
      <c r="A274" s="17"/>
      <c r="B274" s="18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19">
      <c r="A275" s="17"/>
      <c r="B275" s="18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19">
      <c r="A276" s="17"/>
      <c r="B276" s="18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19">
      <c r="A277" s="17"/>
      <c r="B277" s="18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19">
      <c r="A278" s="17"/>
      <c r="B278" s="18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19">
      <c r="A279" s="17"/>
      <c r="B279" s="18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  <row r="280" spans="1:19">
      <c r="A280" s="17"/>
      <c r="B280" s="18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</row>
    <row r="281" spans="1:19">
      <c r="A281" s="17"/>
      <c r="B281" s="18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</row>
    <row r="282" spans="1:19">
      <c r="A282" s="17"/>
      <c r="B282" s="18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</row>
    <row r="283" spans="1:19">
      <c r="A283" s="17"/>
      <c r="B283" s="18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</row>
    <row r="284" spans="1:19">
      <c r="A284" s="17"/>
      <c r="B284" s="18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</row>
    <row r="285" spans="1:19">
      <c r="A285" s="17"/>
      <c r="B285" s="18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</row>
    <row r="286" spans="1:19">
      <c r="A286" s="17"/>
      <c r="B286" s="18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</row>
    <row r="287" spans="1:19">
      <c r="A287" s="17"/>
      <c r="B287" s="18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</row>
    <row r="288" spans="1:19">
      <c r="A288" s="17"/>
      <c r="B288" s="18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</row>
    <row r="289" spans="1:2">
      <c r="A289" s="17"/>
      <c r="B289" s="18"/>
    </row>
    <row r="290" spans="1:2">
      <c r="A290" s="17"/>
      <c r="B290" s="18"/>
    </row>
    <row r="291" spans="1:2">
      <c r="A291" s="17"/>
      <c r="B291" s="18"/>
    </row>
    <row r="292" spans="1:2">
      <c r="A292" s="17"/>
      <c r="B292" s="18"/>
    </row>
    <row r="293" spans="1:2">
      <c r="A293" s="17"/>
      <c r="B293" s="18"/>
    </row>
    <row r="294" spans="1:2">
      <c r="A294" s="17"/>
      <c r="B294" s="18"/>
    </row>
    <row r="295" spans="1:2">
      <c r="A295" s="17"/>
      <c r="B295" s="18"/>
    </row>
    <row r="296" spans="1:2">
      <c r="A296" s="17"/>
      <c r="B296" s="18"/>
    </row>
    <row r="297" spans="1:2">
      <c r="A297" s="17"/>
      <c r="B297" s="18"/>
    </row>
    <row r="298" spans="1:2">
      <c r="A298" s="17"/>
      <c r="B298" s="18"/>
    </row>
    <row r="299" spans="1:2">
      <c r="A299" s="17"/>
      <c r="B299" s="18"/>
    </row>
    <row r="300" spans="1:2">
      <c r="A300" s="17"/>
      <c r="B300" s="18"/>
    </row>
    <row r="301" spans="1:2">
      <c r="A301" s="17"/>
      <c r="B301" s="18"/>
    </row>
    <row r="302" spans="1:2">
      <c r="A302" s="17"/>
      <c r="B302" s="18"/>
    </row>
    <row r="303" spans="1:2">
      <c r="A303" s="17"/>
      <c r="B303" s="18"/>
    </row>
    <row r="304" spans="1:2">
      <c r="A304" s="17"/>
      <c r="B304" s="18"/>
    </row>
    <row r="305" spans="1:2">
      <c r="A305" s="17"/>
      <c r="B305" s="18"/>
    </row>
    <row r="306" spans="1:2">
      <c r="A306" s="17"/>
      <c r="B306" s="18"/>
    </row>
    <row r="307" spans="1:2">
      <c r="A307" s="17"/>
      <c r="B307" s="18"/>
    </row>
    <row r="308" spans="1:2">
      <c r="A308" s="17"/>
      <c r="B308" s="18"/>
    </row>
    <row r="309" spans="1:2">
      <c r="A309" s="17"/>
      <c r="B309" s="18"/>
    </row>
    <row r="310" spans="1:2">
      <c r="A310" s="17"/>
      <c r="B310" s="18"/>
    </row>
    <row r="311" spans="1:2">
      <c r="A311" s="17"/>
      <c r="B311" s="18"/>
    </row>
    <row r="312" spans="1:2">
      <c r="A312" s="17"/>
      <c r="B312" s="18"/>
    </row>
    <row r="313" spans="1:2">
      <c r="A313" s="17"/>
      <c r="B313" s="18"/>
    </row>
    <row r="314" spans="1:2">
      <c r="A314" s="17"/>
      <c r="B314" s="18"/>
    </row>
    <row r="315" spans="1:2">
      <c r="A315" s="17"/>
      <c r="B315" s="18"/>
    </row>
    <row r="316" spans="1:2">
      <c r="A316" s="17"/>
      <c r="B316" s="18"/>
    </row>
    <row r="317" spans="1:2">
      <c r="A317" s="17"/>
      <c r="B317" s="18"/>
    </row>
    <row r="318" spans="1:2">
      <c r="A318" s="17"/>
      <c r="B318" s="18"/>
    </row>
    <row r="319" spans="1:2">
      <c r="A319" s="17"/>
      <c r="B319" s="18"/>
    </row>
    <row r="320" spans="1:2">
      <c r="A320" s="17"/>
      <c r="B320" s="18"/>
    </row>
    <row r="321" spans="1:2">
      <c r="A321" s="17"/>
      <c r="B321" s="18"/>
    </row>
    <row r="322" spans="1:2">
      <c r="A322" s="17"/>
      <c r="B322" s="18"/>
    </row>
    <row r="323" spans="1:2">
      <c r="A323" s="17"/>
      <c r="B323" s="18"/>
    </row>
    <row r="324" spans="1:2">
      <c r="A324" s="17"/>
      <c r="B324" s="18"/>
    </row>
    <row r="325" spans="1:2">
      <c r="A325" s="17"/>
      <c r="B325" s="18"/>
    </row>
    <row r="326" spans="1:2">
      <c r="A326" s="17"/>
      <c r="B326" s="18"/>
    </row>
    <row r="327" spans="1:2">
      <c r="A327" s="17"/>
      <c r="B327" s="18"/>
    </row>
    <row r="328" spans="1:2">
      <c r="A328" s="17"/>
      <c r="B328" s="18"/>
    </row>
    <row r="329" spans="1:2">
      <c r="A329" s="17"/>
      <c r="B329" s="18"/>
    </row>
    <row r="330" spans="1:2">
      <c r="A330" s="17"/>
      <c r="B330" s="18"/>
    </row>
    <row r="331" spans="1:2">
      <c r="A331" s="17"/>
      <c r="B331" s="18"/>
    </row>
    <row r="332" spans="1:2">
      <c r="A332" s="17"/>
      <c r="B332" s="18"/>
    </row>
    <row r="333" spans="1:2">
      <c r="A333" s="17"/>
      <c r="B333" s="18"/>
    </row>
    <row r="334" spans="1:2">
      <c r="A334" s="17"/>
      <c r="B334" s="18"/>
    </row>
    <row r="335" spans="1:2">
      <c r="A335" s="17"/>
      <c r="B335" s="18"/>
    </row>
    <row r="336" spans="1:2">
      <c r="A336" s="17"/>
      <c r="B336" s="18"/>
    </row>
    <row r="337" spans="1:2">
      <c r="A337" s="17"/>
      <c r="B337" s="18"/>
    </row>
    <row r="338" spans="1:2">
      <c r="A338" s="17"/>
      <c r="B338" s="18"/>
    </row>
    <row r="339" spans="1:2">
      <c r="A339" s="17"/>
      <c r="B339" s="18"/>
    </row>
    <row r="340" spans="1:2">
      <c r="A340" s="17"/>
      <c r="B340" s="18"/>
    </row>
    <row r="341" spans="1:2">
      <c r="A341" s="17"/>
      <c r="B341" s="18"/>
    </row>
    <row r="342" spans="1:2">
      <c r="A342" s="17"/>
      <c r="B342" s="18"/>
    </row>
    <row r="343" spans="1:2">
      <c r="A343" s="17"/>
      <c r="B343" s="18"/>
    </row>
    <row r="344" spans="1:2">
      <c r="A344" s="17"/>
      <c r="B344" s="18"/>
    </row>
    <row r="345" spans="1:2">
      <c r="A345" s="17"/>
      <c r="B345" s="18"/>
    </row>
    <row r="346" spans="1:2">
      <c r="A346" s="17"/>
      <c r="B346" s="18"/>
    </row>
    <row r="347" spans="1:2">
      <c r="A347" s="17"/>
      <c r="B347" s="18"/>
    </row>
    <row r="348" spans="1:2">
      <c r="A348" s="17"/>
      <c r="B348" s="18"/>
    </row>
    <row r="349" spans="1:2">
      <c r="A349" s="17"/>
      <c r="B349" s="18"/>
    </row>
    <row r="350" spans="1:2">
      <c r="A350" s="17"/>
      <c r="B350" s="18"/>
    </row>
    <row r="351" spans="1:2">
      <c r="A351" s="17"/>
      <c r="B351" s="18"/>
    </row>
    <row r="352" spans="1:2">
      <c r="A352" s="17"/>
      <c r="B352" s="18"/>
    </row>
    <row r="353" spans="1:2">
      <c r="A353" s="17"/>
      <c r="B353" s="18"/>
    </row>
    <row r="354" spans="1:2">
      <c r="A354" s="17"/>
      <c r="B354" s="18"/>
    </row>
    <row r="355" spans="1:2">
      <c r="A355" s="17"/>
      <c r="B355" s="18"/>
    </row>
    <row r="356" spans="1:2">
      <c r="A356" s="17"/>
      <c r="B356" s="18"/>
    </row>
    <row r="357" spans="1:2">
      <c r="A357" s="17"/>
      <c r="B357" s="18"/>
    </row>
    <row r="358" spans="1:2">
      <c r="A358" s="17"/>
      <c r="B358" s="18"/>
    </row>
    <row r="359" spans="1:2">
      <c r="A359" s="17"/>
      <c r="B359" s="18"/>
    </row>
    <row r="360" spans="1:2">
      <c r="A360" s="17"/>
      <c r="B360" s="18"/>
    </row>
    <row r="361" spans="1:2">
      <c r="A361" s="17"/>
      <c r="B361" s="18"/>
    </row>
    <row r="362" spans="1:2">
      <c r="A362" s="17"/>
      <c r="B362" s="18"/>
    </row>
    <row r="363" spans="1:2">
      <c r="A363" s="17"/>
      <c r="B363" s="18"/>
    </row>
    <row r="364" spans="1:2">
      <c r="A364" s="17"/>
      <c r="B364" s="18"/>
    </row>
    <row r="365" spans="1:2">
      <c r="A365" s="17"/>
      <c r="B365" s="18"/>
    </row>
    <row r="366" spans="1:2">
      <c r="A366" s="17"/>
      <c r="B366" s="18"/>
    </row>
    <row r="367" spans="1:2">
      <c r="A367" s="17"/>
      <c r="B367" s="18"/>
    </row>
    <row r="368" spans="1:2">
      <c r="A368" s="17"/>
      <c r="B368" s="18"/>
    </row>
    <row r="369" spans="1:2">
      <c r="A369" s="17"/>
      <c r="B369" s="18"/>
    </row>
    <row r="370" spans="1:2">
      <c r="A370" s="17"/>
      <c r="B370" s="18"/>
    </row>
    <row r="371" spans="1:2">
      <c r="A371" s="17"/>
      <c r="B371" s="18"/>
    </row>
    <row r="372" spans="1:2">
      <c r="A372" s="17"/>
      <c r="B372" s="18"/>
    </row>
    <row r="373" spans="1:2">
      <c r="A373" s="17"/>
      <c r="B373" s="18"/>
    </row>
    <row r="374" spans="1:2">
      <c r="A374" s="17"/>
      <c r="B374" s="18"/>
    </row>
    <row r="375" spans="1:2">
      <c r="A375" s="17"/>
      <c r="B375" s="18"/>
    </row>
    <row r="376" spans="1:2">
      <c r="A376" s="17"/>
      <c r="B376" s="18"/>
    </row>
    <row r="377" spans="1:2">
      <c r="A377" s="17"/>
      <c r="B377" s="18"/>
    </row>
    <row r="378" spans="1:2">
      <c r="A378" s="17"/>
      <c r="B378" s="18"/>
    </row>
    <row r="379" spans="1:2">
      <c r="A379" s="17"/>
      <c r="B379" s="18"/>
    </row>
    <row r="380" spans="1:2">
      <c r="A380" s="17"/>
      <c r="B380" s="18"/>
    </row>
    <row r="381" spans="1:2">
      <c r="A381" s="17"/>
      <c r="B381" s="18"/>
    </row>
    <row r="382" spans="1:2">
      <c r="A382" s="17"/>
      <c r="B382" s="18"/>
    </row>
    <row r="383" spans="1:2">
      <c r="A383" s="17"/>
      <c r="B383" s="18"/>
    </row>
    <row r="384" spans="1:2">
      <c r="A384" s="17"/>
      <c r="B384" s="18"/>
    </row>
    <row r="385" spans="1:2">
      <c r="A385" s="17"/>
      <c r="B385" s="18"/>
    </row>
    <row r="386" spans="1:2">
      <c r="A386" s="17"/>
      <c r="B386" s="18"/>
    </row>
    <row r="387" spans="1:2">
      <c r="A387" s="17"/>
      <c r="B387" s="18"/>
    </row>
    <row r="388" spans="1:2">
      <c r="A388" s="17"/>
      <c r="B388" s="18"/>
    </row>
    <row r="389" spans="1:2">
      <c r="A389" s="17"/>
      <c r="B389" s="18"/>
    </row>
    <row r="390" spans="1:2">
      <c r="A390" s="17"/>
      <c r="B390" s="18"/>
    </row>
    <row r="391" spans="1:2">
      <c r="A391" s="17"/>
      <c r="B391" s="18"/>
    </row>
    <row r="392" spans="1:2">
      <c r="A392" s="17"/>
      <c r="B392" s="18"/>
    </row>
    <row r="393" spans="1:2">
      <c r="A393" s="17"/>
      <c r="B393" s="18"/>
    </row>
    <row r="394" spans="1:2">
      <c r="A394" s="17"/>
      <c r="B394" s="18"/>
    </row>
    <row r="395" spans="1:2">
      <c r="A395" s="17"/>
      <c r="B395" s="18"/>
    </row>
    <row r="396" spans="1:2">
      <c r="A396" s="17"/>
      <c r="B396" s="18"/>
    </row>
    <row r="397" spans="1:2">
      <c r="A397" s="17"/>
      <c r="B397" s="18"/>
    </row>
    <row r="398" spans="1:2">
      <c r="A398" s="17"/>
      <c r="B398" s="18"/>
    </row>
    <row r="399" spans="1:2">
      <c r="A399" s="17"/>
      <c r="B399" s="18"/>
    </row>
    <row r="400" spans="1:2">
      <c r="A400" s="17"/>
      <c r="B400" s="18"/>
    </row>
    <row r="401" spans="1:2">
      <c r="A401" s="17"/>
      <c r="B401" s="18"/>
    </row>
    <row r="402" spans="1:2">
      <c r="A402" s="17"/>
      <c r="B402" s="18"/>
    </row>
    <row r="403" spans="1:2">
      <c r="A403" s="17"/>
      <c r="B403" s="18"/>
    </row>
    <row r="404" spans="1:2">
      <c r="A404" s="17"/>
      <c r="B404" s="18"/>
    </row>
    <row r="405" spans="1:2">
      <c r="A405" s="17"/>
      <c r="B405" s="18"/>
    </row>
    <row r="406" spans="1:2">
      <c r="A406" s="17"/>
      <c r="B406" s="18"/>
    </row>
    <row r="407" spans="1:2">
      <c r="A407" s="17"/>
      <c r="B407" s="18"/>
    </row>
    <row r="408" spans="1:2">
      <c r="A408" s="17"/>
      <c r="B408" s="18"/>
    </row>
    <row r="409" spans="1:2">
      <c r="A409" s="17"/>
      <c r="B409" s="18"/>
    </row>
    <row r="410" spans="1:2">
      <c r="A410" s="17"/>
      <c r="B410" s="18"/>
    </row>
    <row r="411" spans="1:2">
      <c r="A411" s="17"/>
      <c r="B411" s="18"/>
    </row>
    <row r="412" spans="1:2">
      <c r="A412" s="17"/>
      <c r="B412" s="18"/>
    </row>
    <row r="413" spans="1:2">
      <c r="A413" s="17"/>
      <c r="B413" s="18"/>
    </row>
    <row r="414" spans="1:2">
      <c r="A414" s="17"/>
      <c r="B414" s="18"/>
    </row>
    <row r="415" spans="1:2">
      <c r="A415" s="17"/>
      <c r="B415" s="18"/>
    </row>
    <row r="416" spans="1:2">
      <c r="A416" s="17"/>
      <c r="B416" s="18"/>
    </row>
    <row r="417" spans="1:2">
      <c r="A417" s="17"/>
      <c r="B417" s="18"/>
    </row>
    <row r="418" spans="1:2">
      <c r="A418" s="17"/>
      <c r="B418" s="18"/>
    </row>
    <row r="419" spans="1:2">
      <c r="A419" s="17"/>
      <c r="B419" s="18"/>
    </row>
    <row r="420" spans="1:2">
      <c r="A420" s="17"/>
      <c r="B420" s="18"/>
    </row>
    <row r="421" spans="1:2">
      <c r="A421" s="17"/>
      <c r="B421" s="18"/>
    </row>
    <row r="422" spans="1:2">
      <c r="A422" s="17"/>
      <c r="B422" s="18"/>
    </row>
    <row r="423" spans="1:2">
      <c r="A423" s="17"/>
      <c r="B423" s="18"/>
    </row>
    <row r="424" spans="1:2">
      <c r="A424" s="17"/>
      <c r="B424" s="18"/>
    </row>
    <row r="425" spans="1:2">
      <c r="A425" s="17"/>
      <c r="B425" s="18"/>
    </row>
    <row r="426" spans="1:2">
      <c r="A426" s="17"/>
      <c r="B426" s="18"/>
    </row>
    <row r="427" spans="1:2">
      <c r="A427" s="17"/>
      <c r="B427" s="18"/>
    </row>
    <row r="428" spans="1:2">
      <c r="A428" s="17"/>
      <c r="B428" s="18"/>
    </row>
    <row r="429" spans="1:2">
      <c r="A429" s="17"/>
      <c r="B429" s="18"/>
    </row>
    <row r="430" spans="1:2">
      <c r="A430" s="17"/>
      <c r="B430" s="18"/>
    </row>
    <row r="431" spans="1:2">
      <c r="A431" s="17"/>
      <c r="B431" s="18"/>
    </row>
    <row r="432" spans="1:2">
      <c r="A432" s="17"/>
      <c r="B432" s="18"/>
    </row>
    <row r="433" spans="1:2">
      <c r="A433" s="17"/>
      <c r="B433" s="18"/>
    </row>
    <row r="434" spans="1:2">
      <c r="A434" s="17"/>
      <c r="B434" s="18"/>
    </row>
    <row r="435" spans="1:2">
      <c r="A435" s="17"/>
      <c r="B435" s="18"/>
    </row>
    <row r="436" spans="1:2">
      <c r="A436" s="17"/>
      <c r="B436" s="18"/>
    </row>
    <row r="437" spans="1:2">
      <c r="A437" s="17"/>
      <c r="B437" s="18"/>
    </row>
    <row r="438" spans="1:2">
      <c r="A438" s="17"/>
      <c r="B438" s="18"/>
    </row>
    <row r="439" spans="1:2">
      <c r="A439" s="17"/>
      <c r="B439" s="18"/>
    </row>
    <row r="440" spans="1:2">
      <c r="A440" s="17"/>
      <c r="B440" s="18"/>
    </row>
    <row r="441" spans="1:2">
      <c r="A441" s="17"/>
      <c r="B441" s="18"/>
    </row>
    <row r="442" spans="1:2">
      <c r="A442" s="17"/>
      <c r="B442" s="18"/>
    </row>
    <row r="443" spans="1:2">
      <c r="A443" s="17"/>
      <c r="B443" s="18"/>
    </row>
    <row r="444" spans="1:2">
      <c r="A444" s="17"/>
      <c r="B444" s="18"/>
    </row>
    <row r="445" spans="1:2">
      <c r="A445" s="17"/>
      <c r="B445" s="18"/>
    </row>
    <row r="446" spans="1:2">
      <c r="A446" s="17"/>
      <c r="B446" s="18"/>
    </row>
    <row r="447" spans="1:2">
      <c r="A447" s="17"/>
      <c r="B447" s="18"/>
    </row>
    <row r="448" spans="1:2">
      <c r="A448" s="17"/>
      <c r="B448" s="18"/>
    </row>
    <row r="449" spans="1:2">
      <c r="A449" s="17"/>
      <c r="B449" s="18"/>
    </row>
    <row r="450" spans="1:2">
      <c r="A450" s="17"/>
      <c r="B450" s="18"/>
    </row>
    <row r="451" spans="1:2">
      <c r="A451" s="17"/>
      <c r="B451" s="18"/>
    </row>
    <row r="452" spans="1:2">
      <c r="A452" s="17"/>
      <c r="B452" s="18"/>
    </row>
    <row r="453" spans="1:2">
      <c r="A453" s="17"/>
      <c r="B453" s="18"/>
    </row>
    <row r="454" spans="1:2">
      <c r="A454" s="17"/>
      <c r="B454" s="18"/>
    </row>
    <row r="455" spans="1:2">
      <c r="A455" s="17"/>
      <c r="B455" s="18"/>
    </row>
    <row r="456" spans="1:2">
      <c r="A456" s="17"/>
      <c r="B456" s="18"/>
    </row>
    <row r="457" spans="1:2">
      <c r="A457" s="17"/>
      <c r="B457" s="18"/>
    </row>
    <row r="458" spans="1:2">
      <c r="A458" s="17"/>
      <c r="B458" s="18"/>
    </row>
    <row r="459" spans="1:2">
      <c r="A459" s="17"/>
      <c r="B459" s="18"/>
    </row>
    <row r="460" spans="1:2">
      <c r="A460" s="17"/>
      <c r="B460" s="18"/>
    </row>
    <row r="461" spans="1:2">
      <c r="A461" s="17"/>
      <c r="B461" s="18"/>
    </row>
    <row r="462" spans="1:2">
      <c r="A462" s="17"/>
      <c r="B462" s="18"/>
    </row>
    <row r="463" spans="1:2">
      <c r="A463" s="17"/>
      <c r="B463" s="18"/>
    </row>
    <row r="464" spans="1:2">
      <c r="A464" s="17"/>
      <c r="B464" s="18"/>
    </row>
    <row r="465" spans="1:2">
      <c r="A465" s="17"/>
      <c r="B465" s="18"/>
    </row>
    <row r="466" spans="1:2">
      <c r="A466" s="17"/>
      <c r="B466" s="18"/>
    </row>
    <row r="467" spans="1:2">
      <c r="A467" s="17"/>
      <c r="B467" s="18"/>
    </row>
    <row r="468" spans="1:2">
      <c r="A468" s="17"/>
      <c r="B468" s="18"/>
    </row>
    <row r="469" spans="1:2">
      <c r="A469" s="17"/>
      <c r="B469" s="18"/>
    </row>
    <row r="470" spans="1:2">
      <c r="A470" s="17"/>
      <c r="B470" s="18"/>
    </row>
    <row r="471" spans="1:2">
      <c r="A471" s="17"/>
      <c r="B471" s="18"/>
    </row>
    <row r="472" spans="1:2">
      <c r="A472" s="17"/>
      <c r="B472" s="18"/>
    </row>
    <row r="473" spans="1:2">
      <c r="A473" s="17"/>
      <c r="B473" s="18"/>
    </row>
    <row r="474" spans="1:2">
      <c r="A474" s="17"/>
      <c r="B474" s="18"/>
    </row>
    <row r="475" spans="1:2">
      <c r="A475" s="17"/>
      <c r="B475" s="18"/>
    </row>
    <row r="476" spans="1:2">
      <c r="A476" s="17"/>
      <c r="B476" s="18"/>
    </row>
    <row r="477" spans="1:2">
      <c r="A477" s="17"/>
      <c r="B477" s="18"/>
    </row>
    <row r="478" spans="1:2">
      <c r="A478" s="17"/>
      <c r="B478" s="18"/>
    </row>
    <row r="479" spans="1:2">
      <c r="A479" s="17"/>
      <c r="B479" s="18"/>
    </row>
    <row r="480" spans="1:2">
      <c r="A480" s="17"/>
      <c r="B480" s="18"/>
    </row>
    <row r="481" spans="1:2">
      <c r="A481" s="17"/>
      <c r="B481" s="18"/>
    </row>
    <row r="482" spans="1:2">
      <c r="A482" s="17"/>
      <c r="B482" s="18"/>
    </row>
    <row r="483" spans="1:2">
      <c r="A483" s="17"/>
      <c r="B483" s="18"/>
    </row>
    <row r="484" spans="1:2">
      <c r="A484" s="17"/>
      <c r="B484" s="18"/>
    </row>
    <row r="485" spans="1:2">
      <c r="A485" s="17"/>
      <c r="B485" s="18"/>
    </row>
    <row r="486" spans="1:2">
      <c r="A486" s="17"/>
      <c r="B486" s="18"/>
    </row>
    <row r="487" spans="1:2">
      <c r="A487" s="17"/>
      <c r="B487" s="18"/>
    </row>
    <row r="488" spans="1:2">
      <c r="A488" s="17"/>
      <c r="B488" s="18"/>
    </row>
    <row r="489" spans="1:2">
      <c r="A489" s="17"/>
      <c r="B489" s="18"/>
    </row>
    <row r="490" spans="1:2">
      <c r="A490" s="17"/>
      <c r="B490" s="18"/>
    </row>
    <row r="491" spans="1:2">
      <c r="A491" s="17"/>
      <c r="B491" s="18"/>
    </row>
    <row r="492" spans="1:2">
      <c r="A492" s="17"/>
      <c r="B492" s="18"/>
    </row>
    <row r="493" spans="1:2">
      <c r="A493" s="17"/>
      <c r="B493" s="18"/>
    </row>
    <row r="494" spans="1:2">
      <c r="A494" s="17"/>
      <c r="B494" s="18"/>
    </row>
    <row r="495" spans="1:2">
      <c r="A495" s="17"/>
      <c r="B495" s="18"/>
    </row>
    <row r="496" spans="1:2">
      <c r="A496" s="17"/>
      <c r="B496" s="18"/>
    </row>
    <row r="497" spans="1:2">
      <c r="A497" s="17"/>
      <c r="B497" s="18"/>
    </row>
    <row r="498" spans="1:2">
      <c r="A498" s="17"/>
      <c r="B498" s="18"/>
    </row>
    <row r="499" spans="1:2">
      <c r="A499" s="17"/>
      <c r="B499" s="18"/>
    </row>
    <row r="500" spans="1:2">
      <c r="A500" s="17"/>
      <c r="B500" s="18"/>
    </row>
    <row r="501" spans="1:2">
      <c r="A501" s="17"/>
      <c r="B501" s="18"/>
    </row>
    <row r="502" spans="1:2">
      <c r="A502" s="17"/>
      <c r="B502" s="18"/>
    </row>
    <row r="503" spans="1:2">
      <c r="A503" s="17"/>
      <c r="B503" s="18"/>
    </row>
    <row r="504" spans="1:2">
      <c r="A504" s="17"/>
      <c r="B504" s="18"/>
    </row>
    <row r="505" spans="1:2">
      <c r="A505" s="17"/>
      <c r="B505" s="18"/>
    </row>
    <row r="506" spans="1:2">
      <c r="A506" s="17"/>
      <c r="B506" s="18"/>
    </row>
    <row r="507" spans="1:2">
      <c r="A507" s="17"/>
      <c r="B507" s="18"/>
    </row>
    <row r="508" spans="1:2">
      <c r="A508" s="17"/>
      <c r="B508" s="18"/>
    </row>
    <row r="509" spans="1:2">
      <c r="A509" s="17"/>
      <c r="B509" s="18"/>
    </row>
    <row r="510" spans="1:2">
      <c r="A510" s="17"/>
      <c r="B510" s="18"/>
    </row>
    <row r="511" spans="1:2">
      <c r="A511" s="17"/>
      <c r="B511" s="18"/>
    </row>
    <row r="512" spans="1:2">
      <c r="A512" s="17"/>
      <c r="B512" s="18"/>
    </row>
    <row r="513" spans="1:2">
      <c r="A513" s="17"/>
      <c r="B513" s="18"/>
    </row>
    <row r="514" spans="1:2">
      <c r="A514" s="17"/>
      <c r="B514" s="18"/>
    </row>
    <row r="515" spans="1:2">
      <c r="A515" s="17"/>
      <c r="B515" s="18"/>
    </row>
    <row r="516" spans="1:2">
      <c r="A516" s="17"/>
      <c r="B516" s="18"/>
    </row>
    <row r="517" spans="1:2">
      <c r="A517" s="17"/>
      <c r="B517" s="18"/>
    </row>
    <row r="518" spans="1:2">
      <c r="A518" s="17"/>
      <c r="B518" s="18"/>
    </row>
    <row r="519" spans="1:2">
      <c r="A519" s="17"/>
      <c r="B519" s="18"/>
    </row>
    <row r="520" spans="1:2">
      <c r="A520" s="17"/>
      <c r="B520" s="18"/>
    </row>
    <row r="521" spans="1:2">
      <c r="A521" s="17"/>
      <c r="B521" s="18"/>
    </row>
    <row r="522" spans="1:2">
      <c r="A522" s="17"/>
      <c r="B522" s="18"/>
    </row>
    <row r="523" spans="1:2">
      <c r="A523" s="17"/>
      <c r="B523" s="18"/>
    </row>
    <row r="524" spans="1:2">
      <c r="A524" s="17"/>
      <c r="B524" s="18"/>
    </row>
    <row r="525" spans="1:2">
      <c r="A525" s="17"/>
      <c r="B525" s="18"/>
    </row>
    <row r="526" spans="1:2">
      <c r="A526" s="17"/>
      <c r="B526" s="18"/>
    </row>
    <row r="527" spans="1:2">
      <c r="A527" s="17"/>
      <c r="B527" s="18"/>
    </row>
    <row r="528" spans="1:2">
      <c r="A528" s="17"/>
      <c r="B528" s="18"/>
    </row>
    <row r="529" spans="1:2">
      <c r="A529" s="17"/>
      <c r="B529" s="18"/>
    </row>
    <row r="530" spans="1:2">
      <c r="A530" s="17"/>
      <c r="B530" s="18"/>
    </row>
    <row r="531" spans="1:2">
      <c r="A531" s="17"/>
      <c r="B531" s="18"/>
    </row>
    <row r="532" spans="1:2">
      <c r="A532" s="17"/>
      <c r="B532" s="18"/>
    </row>
    <row r="533" spans="1:2">
      <c r="A533" s="17"/>
      <c r="B533" s="18"/>
    </row>
    <row r="534" spans="1:2">
      <c r="A534" s="17"/>
      <c r="B534" s="18"/>
    </row>
    <row r="535" spans="1:2">
      <c r="A535" s="17"/>
      <c r="B535" s="18"/>
    </row>
    <row r="536" spans="1:2">
      <c r="A536" s="17"/>
      <c r="B536" s="18"/>
    </row>
    <row r="537" spans="1:2">
      <c r="A537" s="17"/>
      <c r="B537" s="18"/>
    </row>
    <row r="538" spans="1:2">
      <c r="A538" s="17"/>
      <c r="B538" s="18"/>
    </row>
    <row r="539" spans="1:2">
      <c r="A539" s="17"/>
      <c r="B539" s="18"/>
    </row>
    <row r="540" spans="1:2">
      <c r="A540" s="17"/>
      <c r="B540" s="18"/>
    </row>
    <row r="541" spans="1:2">
      <c r="A541" s="17"/>
      <c r="B541" s="18"/>
    </row>
    <row r="542" spans="1:2">
      <c r="A542" s="17"/>
      <c r="B542" s="18"/>
    </row>
    <row r="543" spans="1:2">
      <c r="A543" s="17"/>
      <c r="B543" s="18"/>
    </row>
    <row r="544" spans="1:2">
      <c r="A544" s="17"/>
      <c r="B544" s="18"/>
    </row>
    <row r="545" spans="1:2">
      <c r="A545" s="17"/>
      <c r="B545" s="18"/>
    </row>
    <row r="546" spans="1:2">
      <c r="A546" s="17"/>
      <c r="B546" s="18"/>
    </row>
    <row r="547" spans="1:2">
      <c r="A547" s="17"/>
      <c r="B547" s="18"/>
    </row>
    <row r="548" spans="1:2">
      <c r="A548" s="17"/>
      <c r="B548" s="18"/>
    </row>
    <row r="549" spans="1:2">
      <c r="A549" s="17"/>
      <c r="B549" s="18"/>
    </row>
    <row r="550" spans="1:2">
      <c r="A550" s="17"/>
      <c r="B550" s="18"/>
    </row>
    <row r="551" spans="1:2">
      <c r="A551" s="17"/>
      <c r="B551" s="18"/>
    </row>
    <row r="552" spans="1:2">
      <c r="A552" s="17"/>
      <c r="B552" s="18"/>
    </row>
    <row r="553" spans="1:2">
      <c r="A553" s="17"/>
      <c r="B553" s="18"/>
    </row>
    <row r="554" spans="1:2">
      <c r="A554" s="17"/>
      <c r="B554" s="18"/>
    </row>
    <row r="555" spans="1:2">
      <c r="A555" s="17"/>
      <c r="B555" s="18"/>
    </row>
    <row r="556" spans="1:2">
      <c r="A556" s="17"/>
      <c r="B556" s="18"/>
    </row>
    <row r="557" spans="1:2">
      <c r="A557" s="17"/>
      <c r="B557" s="18"/>
    </row>
    <row r="558" spans="1:2">
      <c r="A558" s="17"/>
      <c r="B558" s="18"/>
    </row>
    <row r="559" spans="1:2">
      <c r="A559" s="17"/>
      <c r="B559" s="18"/>
    </row>
    <row r="560" spans="1:2">
      <c r="A560" s="17"/>
      <c r="B560" s="18"/>
    </row>
    <row r="561" spans="1:2">
      <c r="A561" s="17"/>
      <c r="B561" s="18"/>
    </row>
    <row r="562" spans="1:2">
      <c r="A562" s="17"/>
      <c r="B562" s="18"/>
    </row>
    <row r="563" spans="1:2">
      <c r="A563" s="17"/>
      <c r="B563" s="18"/>
    </row>
    <row r="564" spans="1:2">
      <c r="A564" s="17"/>
      <c r="B564" s="18"/>
    </row>
    <row r="565" spans="1:2">
      <c r="A565" s="17"/>
      <c r="B565" s="18"/>
    </row>
    <row r="566" spans="1:2">
      <c r="A566" s="17"/>
      <c r="B566" s="18"/>
    </row>
    <row r="567" spans="1:2">
      <c r="A567" s="17"/>
      <c r="B567" s="18"/>
    </row>
    <row r="568" spans="1:2">
      <c r="A568" s="17"/>
      <c r="B568" s="18"/>
    </row>
    <row r="569" spans="1:2">
      <c r="A569" s="17"/>
      <c r="B569" s="18"/>
    </row>
    <row r="570" spans="1:2">
      <c r="A570" s="17"/>
      <c r="B570" s="18"/>
    </row>
    <row r="571" spans="1:2">
      <c r="A571" s="17"/>
      <c r="B571" s="18"/>
    </row>
    <row r="572" spans="1:2">
      <c r="A572" s="17"/>
      <c r="B572" s="18"/>
    </row>
    <row r="573" spans="1:2">
      <c r="A573" s="17"/>
      <c r="B573" s="18"/>
    </row>
    <row r="574" spans="1:2">
      <c r="A574" s="17"/>
      <c r="B574" s="18"/>
    </row>
    <row r="575" spans="1:2">
      <c r="A575" s="17"/>
      <c r="B575" s="18"/>
    </row>
    <row r="576" spans="1:2">
      <c r="A576" s="17"/>
      <c r="B576" s="18"/>
    </row>
    <row r="577" spans="1:2">
      <c r="A577" s="17"/>
      <c r="B577" s="18"/>
    </row>
    <row r="578" spans="1:2">
      <c r="A578" s="17"/>
      <c r="B578" s="18"/>
    </row>
    <row r="579" spans="1:2">
      <c r="A579" s="17"/>
      <c r="B579" s="18"/>
    </row>
    <row r="580" spans="1:2">
      <c r="A580" s="17"/>
      <c r="B580" s="18"/>
    </row>
    <row r="581" spans="1:2">
      <c r="A581" s="17"/>
      <c r="B581" s="18"/>
    </row>
    <row r="582" spans="1:2">
      <c r="A582" s="17"/>
      <c r="B582" s="18"/>
    </row>
    <row r="583" spans="1:2">
      <c r="A583" s="17"/>
      <c r="B583" s="18"/>
    </row>
    <row r="584" spans="1:2">
      <c r="A584" s="17"/>
      <c r="B584" s="18"/>
    </row>
    <row r="585" spans="1:2">
      <c r="A585" s="17"/>
      <c r="B585" s="18"/>
    </row>
    <row r="586" spans="1:2">
      <c r="A586" s="17"/>
      <c r="B586" s="18"/>
    </row>
    <row r="587" spans="1:2">
      <c r="A587" s="17"/>
      <c r="B587" s="18"/>
    </row>
    <row r="588" spans="1:2">
      <c r="A588" s="17"/>
      <c r="B588" s="18"/>
    </row>
    <row r="589" spans="1:2">
      <c r="A589" s="17"/>
      <c r="B589" s="18"/>
    </row>
    <row r="590" spans="1:2">
      <c r="A590" s="17"/>
      <c r="B590" s="18"/>
    </row>
    <row r="591" spans="1:2">
      <c r="A591" s="17"/>
      <c r="B591" s="18"/>
    </row>
    <row r="592" spans="1:2">
      <c r="A592" s="17"/>
      <c r="B592" s="18"/>
    </row>
    <row r="593" spans="1:2">
      <c r="A593" s="17"/>
      <c r="B593" s="18"/>
    </row>
    <row r="594" spans="1:2">
      <c r="A594" s="17"/>
      <c r="B594" s="18"/>
    </row>
    <row r="595" spans="1:2">
      <c r="A595" s="17"/>
      <c r="B595" s="18"/>
    </row>
    <row r="596" spans="1:2">
      <c r="A596" s="17"/>
      <c r="B596" s="18"/>
    </row>
    <row r="597" spans="1:2">
      <c r="A597" s="17"/>
      <c r="B597" s="18"/>
    </row>
    <row r="598" spans="1:2">
      <c r="A598" s="17"/>
      <c r="B598" s="18"/>
    </row>
    <row r="599" spans="1:2">
      <c r="A599" s="17"/>
      <c r="B599" s="18"/>
    </row>
    <row r="600" spans="1:2">
      <c r="A600" s="17"/>
      <c r="B600" s="18"/>
    </row>
    <row r="601" spans="1:2">
      <c r="A601" s="17"/>
      <c r="B601" s="18"/>
    </row>
    <row r="602" spans="1:2">
      <c r="A602" s="17"/>
      <c r="B602" s="18"/>
    </row>
    <row r="603" spans="1:2">
      <c r="A603" s="17"/>
      <c r="B603" s="18"/>
    </row>
    <row r="604" spans="1:2">
      <c r="A604" s="17"/>
      <c r="B604" s="18"/>
    </row>
    <row r="605" spans="1:2">
      <c r="A605" s="17"/>
      <c r="B605" s="18"/>
    </row>
    <row r="606" spans="1:2">
      <c r="A606" s="17"/>
      <c r="B606" s="18"/>
    </row>
    <row r="607" spans="1:2">
      <c r="A607" s="17"/>
      <c r="B607" s="18"/>
    </row>
    <row r="608" spans="1:2">
      <c r="A608" s="17"/>
      <c r="B608" s="18"/>
    </row>
    <row r="609" spans="1:2">
      <c r="A609" s="17"/>
      <c r="B609" s="18"/>
    </row>
    <row r="610" spans="1:2">
      <c r="A610" s="17"/>
      <c r="B610" s="18"/>
    </row>
    <row r="611" spans="1:2">
      <c r="A611" s="17"/>
      <c r="B611" s="18"/>
    </row>
    <row r="612" spans="1:2">
      <c r="A612" s="17"/>
      <c r="B612" s="18"/>
    </row>
    <row r="613" spans="1:2">
      <c r="A613" s="17"/>
      <c r="B613" s="18"/>
    </row>
    <row r="614" spans="1:2">
      <c r="A614" s="17"/>
      <c r="B614" s="18"/>
    </row>
    <row r="615" spans="1:2">
      <c r="A615" s="17"/>
      <c r="B615" s="18"/>
    </row>
    <row r="616" spans="1:2">
      <c r="A616" s="17"/>
      <c r="B616" s="18"/>
    </row>
    <row r="617" spans="1:2">
      <c r="A617" s="17"/>
      <c r="B617" s="18"/>
    </row>
    <row r="618" spans="1:2">
      <c r="A618" s="17"/>
      <c r="B618" s="18"/>
    </row>
    <row r="619" spans="1:2">
      <c r="A619" s="17"/>
      <c r="B619" s="18"/>
    </row>
    <row r="620" spans="1:2">
      <c r="A620" s="17"/>
      <c r="B620" s="18"/>
    </row>
    <row r="621" spans="1:2">
      <c r="A621" s="17"/>
      <c r="B621" s="18"/>
    </row>
    <row r="622" spans="1:2">
      <c r="A622" s="17"/>
      <c r="B622" s="18"/>
    </row>
    <row r="623" spans="1:2">
      <c r="A623" s="17"/>
      <c r="B623" s="18"/>
    </row>
    <row r="624" spans="1:2">
      <c r="A624" s="17"/>
      <c r="B624" s="18"/>
    </row>
    <row r="625" spans="1:2">
      <c r="A625" s="17"/>
      <c r="B625" s="18"/>
    </row>
    <row r="626" spans="1:2">
      <c r="A626" s="17"/>
      <c r="B626" s="18"/>
    </row>
    <row r="627" spans="1:2">
      <c r="A627" s="17"/>
      <c r="B627" s="18"/>
    </row>
    <row r="628" spans="1:2">
      <c r="A628" s="17"/>
      <c r="B628" s="18"/>
    </row>
    <row r="629" spans="1:2">
      <c r="A629" s="17"/>
      <c r="B629" s="18"/>
    </row>
    <row r="630" spans="1:2">
      <c r="A630" s="17"/>
      <c r="B630" s="18"/>
    </row>
    <row r="631" spans="1:2">
      <c r="A631" s="17"/>
      <c r="B631" s="18"/>
    </row>
    <row r="632" spans="1:2">
      <c r="A632" s="17"/>
      <c r="B632" s="18"/>
    </row>
    <row r="633" spans="1:2">
      <c r="A633" s="17"/>
      <c r="B633" s="18"/>
    </row>
    <row r="634" spans="1:2">
      <c r="A634" s="17"/>
      <c r="B634" s="18"/>
    </row>
    <row r="635" spans="1:2">
      <c r="A635" s="17"/>
      <c r="B635" s="18"/>
    </row>
    <row r="636" spans="1:2">
      <c r="A636" s="17"/>
      <c r="B636" s="18"/>
    </row>
    <row r="637" spans="1:2">
      <c r="A637" s="17"/>
      <c r="B637" s="18"/>
    </row>
    <row r="638" spans="1:2">
      <c r="A638" s="17"/>
      <c r="B638" s="18"/>
    </row>
    <row r="639" spans="1:2">
      <c r="A639" s="17"/>
      <c r="B639" s="18"/>
    </row>
    <row r="640" spans="1:2">
      <c r="A640" s="17"/>
      <c r="B640" s="18"/>
    </row>
    <row r="641" spans="1:2">
      <c r="A641" s="17"/>
      <c r="B641" s="18"/>
    </row>
    <row r="642" spans="1:2">
      <c r="A642" s="17"/>
      <c r="B642" s="18"/>
    </row>
    <row r="643" spans="1:2">
      <c r="A643" s="17"/>
      <c r="B643" s="18"/>
    </row>
    <row r="644" spans="1:2">
      <c r="A644" s="17"/>
      <c r="B644" s="18"/>
    </row>
    <row r="645" spans="1:2">
      <c r="A645" s="17"/>
      <c r="B645" s="18"/>
    </row>
    <row r="646" spans="1:2">
      <c r="A646" s="17"/>
      <c r="B646" s="18"/>
    </row>
    <row r="647" spans="1:2">
      <c r="A647" s="17"/>
      <c r="B647" s="18"/>
    </row>
    <row r="648" spans="1:2">
      <c r="A648" s="17"/>
      <c r="B648" s="18"/>
    </row>
    <row r="649" spans="1:2">
      <c r="A649" s="17"/>
      <c r="B649" s="18"/>
    </row>
    <row r="650" spans="1:2">
      <c r="A650" s="17"/>
      <c r="B650" s="18"/>
    </row>
    <row r="651" spans="1:2">
      <c r="A651" s="17"/>
      <c r="B651" s="18"/>
    </row>
    <row r="652" spans="1:2">
      <c r="A652" s="17"/>
      <c r="B652" s="18"/>
    </row>
    <row r="653" spans="1:2">
      <c r="A653" s="17"/>
      <c r="B653" s="18"/>
    </row>
    <row r="654" spans="1:2">
      <c r="A654" s="17"/>
      <c r="B654" s="18"/>
    </row>
    <row r="655" spans="1:2">
      <c r="A655" s="17"/>
      <c r="B655" s="18"/>
    </row>
    <row r="656" spans="1:2">
      <c r="A656" s="17"/>
      <c r="B656" s="18"/>
    </row>
    <row r="657" spans="1:2">
      <c r="A657" s="17"/>
      <c r="B657" s="18"/>
    </row>
    <row r="658" spans="1:2">
      <c r="A658" s="17"/>
      <c r="B658" s="18"/>
    </row>
    <row r="659" spans="1:2">
      <c r="A659" s="17"/>
      <c r="B659" s="18"/>
    </row>
    <row r="660" spans="1:2">
      <c r="A660" s="17"/>
      <c r="B660" s="18"/>
    </row>
    <row r="661" spans="1:2">
      <c r="A661" s="17"/>
      <c r="B661" s="18"/>
    </row>
    <row r="662" spans="1:2">
      <c r="A662" s="17"/>
      <c r="B662" s="18"/>
    </row>
    <row r="663" spans="1:2">
      <c r="A663" s="17"/>
      <c r="B663" s="18"/>
    </row>
    <row r="664" spans="1:2">
      <c r="A664" s="17"/>
      <c r="B664" s="18"/>
    </row>
    <row r="665" spans="1:2">
      <c r="A665" s="17"/>
      <c r="B665" s="18"/>
    </row>
    <row r="666" spans="1:2">
      <c r="A666" s="17"/>
      <c r="B666" s="18"/>
    </row>
    <row r="667" spans="1:2">
      <c r="A667" s="17"/>
      <c r="B667" s="18"/>
    </row>
    <row r="668" spans="1:2">
      <c r="A668" s="17"/>
      <c r="B668" s="18"/>
    </row>
    <row r="669" spans="1:2">
      <c r="A669" s="17"/>
      <c r="B669" s="18"/>
    </row>
    <row r="670" spans="1:2">
      <c r="A670" s="17"/>
      <c r="B670" s="18"/>
    </row>
    <row r="671" spans="1:2">
      <c r="A671" s="17"/>
      <c r="B671" s="18"/>
    </row>
    <row r="672" spans="1:2">
      <c r="A672" s="17"/>
      <c r="B672" s="18"/>
    </row>
    <row r="673" spans="1:2">
      <c r="A673" s="17"/>
      <c r="B673" s="18"/>
    </row>
    <row r="674" spans="1:2">
      <c r="A674" s="17"/>
      <c r="B674" s="18"/>
    </row>
    <row r="675" spans="1:2">
      <c r="A675" s="17"/>
      <c r="B675" s="18"/>
    </row>
    <row r="676" spans="1:2">
      <c r="A676" s="17"/>
      <c r="B676" s="18"/>
    </row>
    <row r="677" spans="1:2">
      <c r="A677" s="17"/>
      <c r="B677" s="18"/>
    </row>
    <row r="678" spans="1:2">
      <c r="A678" s="17"/>
      <c r="B678" s="18"/>
    </row>
    <row r="679" spans="1:2">
      <c r="A679" s="17"/>
      <c r="B679" s="18"/>
    </row>
    <row r="680" spans="1:2">
      <c r="A680" s="17"/>
      <c r="B680" s="18"/>
    </row>
    <row r="681" spans="1:2">
      <c r="A681" s="17"/>
      <c r="B681" s="18"/>
    </row>
    <row r="682" spans="1:2">
      <c r="A682" s="17"/>
      <c r="B682" s="18"/>
    </row>
    <row r="683" spans="1:2">
      <c r="A683" s="17"/>
      <c r="B683" s="18"/>
    </row>
    <row r="684" spans="1:2">
      <c r="A684" s="17"/>
      <c r="B684" s="18"/>
    </row>
    <row r="685" spans="1:2">
      <c r="A685" s="17"/>
      <c r="B685" s="18"/>
    </row>
    <row r="686" spans="1:2">
      <c r="A686" s="17"/>
      <c r="B686" s="18"/>
    </row>
    <row r="687" spans="1:2">
      <c r="A687" s="17"/>
      <c r="B687" s="18"/>
    </row>
    <row r="688" spans="1:2">
      <c r="A688" s="17"/>
      <c r="B688" s="18"/>
    </row>
    <row r="689" spans="1:2">
      <c r="A689" s="17"/>
      <c r="B689" s="18"/>
    </row>
    <row r="690" spans="1:2">
      <c r="A690" s="17"/>
      <c r="B690" s="18"/>
    </row>
    <row r="691" spans="1:2">
      <c r="A691" s="17"/>
      <c r="B691" s="18"/>
    </row>
    <row r="692" spans="1:2">
      <c r="A692" s="17"/>
      <c r="B692" s="18"/>
    </row>
    <row r="693" spans="1:2">
      <c r="A693" s="17"/>
      <c r="B693" s="18"/>
    </row>
    <row r="694" spans="1:2">
      <c r="A694" s="17"/>
      <c r="B694" s="18"/>
    </row>
    <row r="695" spans="1:2">
      <c r="A695" s="17"/>
      <c r="B695" s="18"/>
    </row>
    <row r="696" spans="1:2">
      <c r="A696" s="17"/>
      <c r="B696" s="18"/>
    </row>
    <row r="697" spans="1:2">
      <c r="A697" s="17"/>
      <c r="B697" s="18"/>
    </row>
    <row r="698" spans="1:2">
      <c r="A698" s="17"/>
      <c r="B698" s="18"/>
    </row>
    <row r="699" spans="1:2">
      <c r="A699" s="17"/>
      <c r="B699" s="18"/>
    </row>
    <row r="700" spans="1:2">
      <c r="A700" s="17"/>
      <c r="B700" s="18"/>
    </row>
    <row r="701" spans="1:2">
      <c r="A701" s="17"/>
      <c r="B701" s="18"/>
    </row>
    <row r="702" spans="1:2">
      <c r="A702" s="17"/>
      <c r="B702" s="18"/>
    </row>
    <row r="703" spans="1:2">
      <c r="A703" s="17"/>
      <c r="B703" s="18"/>
    </row>
    <row r="704" spans="1:2">
      <c r="A704" s="17"/>
      <c r="B704" s="18"/>
    </row>
    <row r="705" spans="1:2">
      <c r="A705" s="17"/>
      <c r="B705" s="18"/>
    </row>
    <row r="706" spans="1:2">
      <c r="A706" s="17"/>
      <c r="B706" s="18"/>
    </row>
    <row r="707" spans="1:2">
      <c r="A707" s="17"/>
      <c r="B707" s="18"/>
    </row>
    <row r="708" spans="1:2">
      <c r="A708" s="17"/>
      <c r="B708" s="18"/>
    </row>
    <row r="709" spans="1:2">
      <c r="A709" s="17"/>
      <c r="B709" s="18"/>
    </row>
    <row r="710" spans="1:2">
      <c r="A710" s="17"/>
      <c r="B710" s="18"/>
    </row>
    <row r="711" spans="1:2">
      <c r="A711" s="17"/>
      <c r="B711" s="18"/>
    </row>
    <row r="712" spans="1:2">
      <c r="A712" s="17"/>
      <c r="B712" s="18"/>
    </row>
    <row r="713" spans="1:2">
      <c r="A713" s="17"/>
      <c r="B713" s="18"/>
    </row>
    <row r="714" spans="1:2">
      <c r="A714" s="17"/>
      <c r="B714" s="18"/>
    </row>
    <row r="715" spans="1:2">
      <c r="A715" s="17"/>
      <c r="B715" s="18"/>
    </row>
    <row r="716" spans="1:2">
      <c r="A716" s="17"/>
      <c r="B716" s="18"/>
    </row>
    <row r="717" spans="1:2">
      <c r="A717" s="17"/>
      <c r="B717" s="18"/>
    </row>
    <row r="718" spans="1:2">
      <c r="A718" s="17"/>
      <c r="B718" s="18"/>
    </row>
    <row r="719" spans="1:2">
      <c r="A719" s="17"/>
      <c r="B719" s="18"/>
    </row>
    <row r="720" spans="1:2">
      <c r="A720" s="17"/>
      <c r="B720" s="18"/>
    </row>
    <row r="721" spans="1:2">
      <c r="A721" s="17"/>
      <c r="B721" s="18"/>
    </row>
    <row r="722" spans="1:2">
      <c r="A722" s="17"/>
      <c r="B722" s="18"/>
    </row>
    <row r="723" spans="1:2">
      <c r="A723" s="17"/>
      <c r="B723" s="18"/>
    </row>
    <row r="724" spans="1:2">
      <c r="A724" s="17"/>
      <c r="B724" s="18"/>
    </row>
    <row r="725" spans="1:2">
      <c r="A725" s="17"/>
      <c r="B725" s="18"/>
    </row>
    <row r="726" spans="1:2">
      <c r="A726" s="17"/>
      <c r="B726" s="18"/>
    </row>
    <row r="727" spans="1:2">
      <c r="A727" s="17"/>
      <c r="B727" s="18"/>
    </row>
    <row r="728" spans="1:2">
      <c r="A728" s="17"/>
      <c r="B728" s="18"/>
    </row>
    <row r="729" spans="1:2">
      <c r="A729" s="17"/>
      <c r="B729" s="18"/>
    </row>
    <row r="730" spans="1:2">
      <c r="A730" s="17"/>
      <c r="B730" s="18"/>
    </row>
    <row r="731" spans="1:2">
      <c r="A731" s="17"/>
      <c r="B731" s="18"/>
    </row>
    <row r="732" spans="1:2">
      <c r="A732" s="17"/>
      <c r="B732" s="18"/>
    </row>
    <row r="733" spans="1:2">
      <c r="A733" s="17"/>
      <c r="B733" s="18"/>
    </row>
    <row r="734" spans="1:2">
      <c r="A734" s="17"/>
      <c r="B734" s="18"/>
    </row>
    <row r="735" spans="1:2">
      <c r="A735" s="17"/>
      <c r="B735" s="18"/>
    </row>
    <row r="736" spans="1:2">
      <c r="A736" s="17"/>
      <c r="B736" s="18"/>
    </row>
    <row r="737" spans="1:2">
      <c r="A737" s="17"/>
      <c r="B737" s="18"/>
    </row>
    <row r="738" spans="1:2">
      <c r="A738" s="17"/>
      <c r="B738" s="18"/>
    </row>
    <row r="739" spans="1:2">
      <c r="A739" s="17"/>
      <c r="B739" s="18"/>
    </row>
    <row r="740" spans="1:2">
      <c r="A740" s="17"/>
      <c r="B740" s="18"/>
    </row>
    <row r="741" spans="1:2">
      <c r="A741" s="17"/>
      <c r="B741" s="18"/>
    </row>
    <row r="742" spans="1:2">
      <c r="A742" s="17"/>
      <c r="B742" s="18"/>
    </row>
    <row r="743" spans="1:2">
      <c r="A743" s="17"/>
      <c r="B743" s="18"/>
    </row>
    <row r="744" spans="1:2">
      <c r="A744" s="17"/>
      <c r="B744" s="18"/>
    </row>
    <row r="745" spans="1:2">
      <c r="A745" s="17"/>
      <c r="B745" s="18"/>
    </row>
    <row r="746" spans="1:2">
      <c r="A746" s="17"/>
      <c r="B746" s="18"/>
    </row>
    <row r="747" spans="1:2">
      <c r="A747" s="17"/>
      <c r="B747" s="18"/>
    </row>
    <row r="748" spans="1:2">
      <c r="A748" s="17"/>
      <c r="B748" s="18"/>
    </row>
    <row r="749" spans="1:2">
      <c r="A749" s="17"/>
      <c r="B749" s="18"/>
    </row>
    <row r="750" spans="1:2">
      <c r="A750" s="17"/>
      <c r="B750" s="18"/>
    </row>
    <row r="751" spans="1:2">
      <c r="A751" s="17"/>
      <c r="B751" s="18"/>
    </row>
    <row r="752" spans="1:2">
      <c r="A752" s="17"/>
      <c r="B752" s="18"/>
    </row>
    <row r="753" spans="1:2">
      <c r="A753" s="17"/>
      <c r="B753" s="18"/>
    </row>
    <row r="754" spans="1:2">
      <c r="A754" s="17"/>
      <c r="B754" s="18"/>
    </row>
    <row r="755" spans="1:2">
      <c r="A755" s="17"/>
      <c r="B755" s="18"/>
    </row>
    <row r="756" spans="1:2">
      <c r="A756" s="17"/>
      <c r="B756" s="18"/>
    </row>
    <row r="757" spans="1:2">
      <c r="A757" s="17"/>
      <c r="B757" s="18"/>
    </row>
    <row r="758" spans="1:2">
      <c r="A758" s="17"/>
      <c r="B758" s="18"/>
    </row>
    <row r="759" spans="1:2">
      <c r="A759" s="17"/>
      <c r="B759" s="18"/>
    </row>
    <row r="760" spans="1:2">
      <c r="A760" s="17"/>
      <c r="B760" s="18"/>
    </row>
    <row r="761" spans="1:2">
      <c r="A761" s="17"/>
      <c r="B761" s="18"/>
    </row>
    <row r="762" spans="1:2">
      <c r="A762" s="17"/>
      <c r="B762" s="18"/>
    </row>
    <row r="763" spans="1:2">
      <c r="A763" s="17"/>
      <c r="B763" s="18"/>
    </row>
    <row r="764" spans="1:2">
      <c r="A764" s="17"/>
      <c r="B764" s="18"/>
    </row>
    <row r="765" spans="1:2">
      <c r="A765" s="17"/>
      <c r="B765" s="18"/>
    </row>
    <row r="766" spans="1:2">
      <c r="A766" s="17"/>
      <c r="B766" s="18"/>
    </row>
    <row r="767" spans="1:2">
      <c r="A767" s="17"/>
      <c r="B767" s="18"/>
    </row>
  </sheetData>
  <sheetProtection formatCells="0" formatColumns="0" formatRows="0" insertColumns="0" insertRows="0" insertHyperlinks="0" deleteColumns="0" deleteRows="0" sort="0" autoFilter="0" pivotTables="0"/>
  <protectedRanges>
    <protectedRange sqref="A1:B52" name="Диапазон2"/>
    <protectedRange sqref="K2" name="Диапазон1"/>
  </protectedRanges>
  <phoneticPr fontId="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6"/>
  <dimension ref="A1:AO767"/>
  <sheetViews>
    <sheetView workbookViewId="0">
      <selection activeCell="K2" sqref="K2"/>
    </sheetView>
  </sheetViews>
  <sheetFormatPr defaultRowHeight="14.4"/>
  <sheetData>
    <row r="1" spans="1:41" ht="15" thickBot="1">
      <c r="A1" s="23" t="s">
        <v>69</v>
      </c>
      <c r="B1" s="25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</row>
    <row r="2" spans="1:41" ht="16.2" thickBot="1">
      <c r="A2" s="23" t="s">
        <v>71</v>
      </c>
      <c r="B2" s="25">
        <v>1545.51</v>
      </c>
      <c r="C2" s="19"/>
      <c r="D2" s="19"/>
      <c r="E2" s="41" t="s">
        <v>116</v>
      </c>
      <c r="F2" s="19"/>
      <c r="G2" s="19"/>
      <c r="H2" s="19"/>
      <c r="I2" s="26"/>
      <c r="J2" s="19"/>
      <c r="K2" s="20">
        <f>SUMIF(A2:A51,"20.02.01",B2:B52)</f>
        <v>14064.35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</row>
    <row r="3" spans="1:41">
      <c r="A3" s="23" t="s">
        <v>72</v>
      </c>
      <c r="B3" s="24">
        <v>591.5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</row>
    <row r="4" spans="1:41">
      <c r="A4" s="23" t="s">
        <v>72</v>
      </c>
      <c r="B4" s="24">
        <v>199.19</v>
      </c>
      <c r="C4" s="19"/>
      <c r="D4" s="19"/>
      <c r="E4" s="21" t="s">
        <v>80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</row>
    <row r="5" spans="1:41">
      <c r="A5" s="23" t="s">
        <v>72</v>
      </c>
      <c r="B5" s="24">
        <v>235.62</v>
      </c>
      <c r="C5" s="19"/>
      <c r="D5" s="19"/>
      <c r="E5" s="21" t="s">
        <v>81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</row>
    <row r="6" spans="1:41">
      <c r="A6" s="23" t="s">
        <v>72</v>
      </c>
      <c r="B6" s="24">
        <v>227.14</v>
      </c>
      <c r="C6" s="19"/>
      <c r="D6" s="19"/>
      <c r="E6" s="21" t="s">
        <v>82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</row>
    <row r="7" spans="1:41">
      <c r="A7" s="23" t="s">
        <v>72</v>
      </c>
      <c r="B7" s="24">
        <v>585.78</v>
      </c>
      <c r="C7" s="19"/>
      <c r="D7" s="19"/>
      <c r="E7" s="21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</row>
    <row r="8" spans="1:41" ht="15.6">
      <c r="A8" s="23" t="s">
        <v>72</v>
      </c>
      <c r="B8" s="24">
        <v>632.89</v>
      </c>
      <c r="C8" s="19"/>
      <c r="D8" s="19"/>
      <c r="E8" s="41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</row>
    <row r="9" spans="1:41">
      <c r="A9" s="23" t="s">
        <v>71</v>
      </c>
      <c r="B9" s="24">
        <v>-126.23</v>
      </c>
      <c r="C9" s="19"/>
      <c r="D9" s="19"/>
      <c r="E9" s="21" t="s">
        <v>78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</row>
    <row r="10" spans="1:41">
      <c r="A10" s="23" t="s">
        <v>72</v>
      </c>
      <c r="B10" s="24">
        <v>368.66</v>
      </c>
      <c r="C10" s="19"/>
      <c r="D10" s="19"/>
      <c r="E10" s="21" t="s">
        <v>83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</row>
    <row r="11" spans="1:41">
      <c r="A11" s="23" t="s">
        <v>72</v>
      </c>
      <c r="B11" s="24">
        <v>564.02</v>
      </c>
      <c r="C11" s="19"/>
      <c r="D11" s="19"/>
      <c r="E11" s="21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</row>
    <row r="12" spans="1:41">
      <c r="A12" s="23" t="s">
        <v>71</v>
      </c>
      <c r="B12" s="24">
        <v>279.10000000000002</v>
      </c>
      <c r="C12" s="19"/>
      <c r="D12" s="19"/>
      <c r="E12" s="27" t="s">
        <v>84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</row>
    <row r="13" spans="1:41">
      <c r="A13" s="23" t="s">
        <v>72</v>
      </c>
      <c r="B13" s="24">
        <v>570.72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</row>
    <row r="14" spans="1:41">
      <c r="A14" s="23" t="s">
        <v>72</v>
      </c>
      <c r="B14" s="24">
        <v>679.32</v>
      </c>
      <c r="C14" s="19"/>
      <c r="D14" s="19"/>
      <c r="E14" s="19"/>
      <c r="F14" s="19" t="s">
        <v>85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</row>
    <row r="15" spans="1:41">
      <c r="A15" s="23" t="s">
        <v>71</v>
      </c>
      <c r="B15" s="24">
        <v>1462.53</v>
      </c>
      <c r="C15" s="19"/>
      <c r="D15" s="19"/>
      <c r="E15" s="19"/>
      <c r="F15" s="19" t="s">
        <v>86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</row>
    <row r="16" spans="1:41">
      <c r="A16" s="23" t="s">
        <v>71</v>
      </c>
      <c r="B16" s="24">
        <v>-213.84</v>
      </c>
      <c r="C16" s="19"/>
      <c r="D16" s="19"/>
      <c r="E16" s="19"/>
      <c r="F16" s="28" t="s">
        <v>87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</row>
    <row r="17" spans="1:41">
      <c r="A17" s="23" t="s">
        <v>72</v>
      </c>
      <c r="B17" s="24">
        <v>539.35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</row>
    <row r="18" spans="1:41">
      <c r="A18" s="23" t="s">
        <v>71</v>
      </c>
      <c r="B18" s="24">
        <v>1315.75</v>
      </c>
      <c r="C18" s="19"/>
      <c r="D18" s="2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</row>
    <row r="19" spans="1:41">
      <c r="A19" s="23" t="s">
        <v>71</v>
      </c>
      <c r="B19" s="24">
        <v>698.5</v>
      </c>
      <c r="C19" s="19"/>
      <c r="D19" s="2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>
      <c r="A20" s="23" t="s">
        <v>72</v>
      </c>
      <c r="B20" s="24">
        <v>667.18</v>
      </c>
      <c r="C20" s="19"/>
      <c r="D20" s="19"/>
      <c r="E20" s="19"/>
      <c r="F20" s="19"/>
      <c r="G20" s="19"/>
      <c r="H20" s="19"/>
      <c r="I20" s="19"/>
      <c r="J20" s="21"/>
      <c r="K20" s="22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spans="1:41">
      <c r="A21" s="23" t="s">
        <v>71</v>
      </c>
      <c r="B21" s="24">
        <v>187.39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</row>
    <row r="22" spans="1:41">
      <c r="A22" s="23" t="s">
        <v>71</v>
      </c>
      <c r="B22" s="24">
        <v>286.62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</row>
    <row r="23" spans="1:41">
      <c r="A23" s="23" t="s">
        <v>71</v>
      </c>
      <c r="B23" s="24">
        <v>624.45000000000005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</row>
    <row r="24" spans="1:41">
      <c r="A24" s="23" t="s">
        <v>72</v>
      </c>
      <c r="B24" s="24">
        <v>1116.8699999999999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</row>
    <row r="25" spans="1:41">
      <c r="A25" s="23" t="s">
        <v>71</v>
      </c>
      <c r="B25" s="24">
        <v>792.35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</row>
    <row r="26" spans="1:41">
      <c r="A26" s="23" t="s">
        <v>71</v>
      </c>
      <c r="B26" s="24">
        <v>1243.07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</row>
    <row r="27" spans="1:41">
      <c r="A27" s="23" t="s">
        <v>71</v>
      </c>
      <c r="B27" s="24">
        <v>226.16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</row>
    <row r="28" spans="1:41">
      <c r="A28" s="23" t="s">
        <v>72</v>
      </c>
      <c r="B28" s="24">
        <v>515.16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</row>
    <row r="29" spans="1:41">
      <c r="A29" s="23" t="s">
        <v>72</v>
      </c>
      <c r="B29" s="24">
        <v>715.19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</row>
    <row r="30" spans="1:41">
      <c r="A30" s="23" t="s">
        <v>72</v>
      </c>
      <c r="B30" s="24">
        <v>833.47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</row>
    <row r="31" spans="1:41">
      <c r="A31" s="23" t="s">
        <v>71</v>
      </c>
      <c r="B31" s="24">
        <v>191.04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</row>
    <row r="32" spans="1:41">
      <c r="A32" s="23" t="s">
        <v>72</v>
      </c>
      <c r="B32" s="24">
        <v>1015.18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</row>
    <row r="33" spans="1:41">
      <c r="A33" s="23" t="s">
        <v>72</v>
      </c>
      <c r="B33" s="24">
        <v>1259.8699999999999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</row>
    <row r="34" spans="1:41">
      <c r="A34" s="23" t="s">
        <v>72</v>
      </c>
      <c r="B34" s="24">
        <v>579.17999999999995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</row>
    <row r="35" spans="1:41">
      <c r="A35" s="23" t="s">
        <v>72</v>
      </c>
      <c r="B35" s="24">
        <v>1133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</row>
    <row r="36" spans="1:41">
      <c r="A36" s="23" t="s">
        <v>72</v>
      </c>
      <c r="B36" s="24">
        <v>300.64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</row>
    <row r="37" spans="1:41">
      <c r="A37" s="23" t="s">
        <v>71</v>
      </c>
      <c r="B37" s="24">
        <v>719.08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</row>
    <row r="38" spans="1:41">
      <c r="A38" s="23" t="s">
        <v>71</v>
      </c>
      <c r="B38" s="24">
        <v>725.95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</row>
    <row r="39" spans="1:41">
      <c r="A39" s="23" t="s">
        <v>72</v>
      </c>
      <c r="B39" s="24">
        <v>299.33999999999997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</row>
    <row r="40" spans="1:41">
      <c r="A40" s="23" t="s">
        <v>71</v>
      </c>
      <c r="B40" s="24">
        <v>566.07000000000005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</row>
    <row r="41" spans="1:41">
      <c r="A41" s="23" t="s">
        <v>72</v>
      </c>
      <c r="B41" s="24">
        <v>562.70000000000005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</row>
    <row r="42" spans="1:41">
      <c r="A42" s="23" t="s">
        <v>72</v>
      </c>
      <c r="B42" s="24">
        <v>218.43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</row>
    <row r="43" spans="1:41">
      <c r="A43" s="23" t="s">
        <v>71</v>
      </c>
      <c r="B43" s="24">
        <v>908.22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</row>
    <row r="44" spans="1:41">
      <c r="A44" s="23" t="s">
        <v>72</v>
      </c>
      <c r="B44" s="24">
        <v>259.82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</row>
    <row r="45" spans="1:41">
      <c r="A45" s="23" t="s">
        <v>71</v>
      </c>
      <c r="B45" s="24">
        <v>869.65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</row>
    <row r="46" spans="1:41">
      <c r="A46" s="23" t="s">
        <v>71</v>
      </c>
      <c r="B46" s="24">
        <v>533.47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</row>
    <row r="47" spans="1:41">
      <c r="A47" s="23" t="s">
        <v>72</v>
      </c>
      <c r="B47" s="24">
        <v>506.2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</row>
    <row r="48" spans="1:41">
      <c r="A48" s="23" t="s">
        <v>71</v>
      </c>
      <c r="B48" s="24">
        <v>527.77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</row>
    <row r="49" spans="1:41">
      <c r="A49" s="23" t="s">
        <v>72</v>
      </c>
      <c r="B49" s="24">
        <v>818.15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</row>
    <row r="50" spans="1:41">
      <c r="A50" s="23" t="s">
        <v>72</v>
      </c>
      <c r="B50" s="24">
        <v>1249.98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</row>
    <row r="51" spans="1:41">
      <c r="A51" s="23" t="s">
        <v>71</v>
      </c>
      <c r="B51" s="24">
        <v>701.74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</row>
    <row r="52" spans="1:41">
      <c r="A52" s="23" t="s">
        <v>72</v>
      </c>
      <c r="B52" s="24">
        <v>31308.900000000012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</row>
    <row r="53" spans="1:41">
      <c r="A53" s="17"/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</row>
    <row r="54" spans="1:41">
      <c r="A54" s="17"/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</row>
    <row r="55" spans="1:41">
      <c r="A55" s="17"/>
      <c r="B55" s="18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</row>
    <row r="56" spans="1:41">
      <c r="A56" s="17"/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</row>
    <row r="57" spans="1:41">
      <c r="A57" s="17"/>
      <c r="B57" s="18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</row>
    <row r="58" spans="1:41">
      <c r="A58" s="17"/>
      <c r="B58" s="18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</row>
    <row r="59" spans="1:41">
      <c r="A59" s="17"/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</row>
    <row r="60" spans="1:41">
      <c r="A60" s="17"/>
      <c r="B60" s="18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</row>
    <row r="61" spans="1:41">
      <c r="A61" s="17"/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</row>
    <row r="62" spans="1:41">
      <c r="A62" s="17"/>
      <c r="B62" s="18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</row>
    <row r="63" spans="1:41">
      <c r="A63" s="17"/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</row>
    <row r="64" spans="1:41">
      <c r="A64" s="17"/>
      <c r="B64" s="18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</row>
    <row r="65" spans="1:41">
      <c r="A65" s="17"/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</row>
    <row r="66" spans="1:41">
      <c r="A66" s="17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</row>
    <row r="67" spans="1:41">
      <c r="A67" s="17"/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</row>
    <row r="68" spans="1:41">
      <c r="A68" s="17"/>
      <c r="B68" s="18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</row>
    <row r="69" spans="1:41">
      <c r="A69" s="17"/>
      <c r="B69" s="18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</row>
    <row r="70" spans="1:41">
      <c r="A70" s="17"/>
      <c r="B70" s="18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</row>
    <row r="71" spans="1:41">
      <c r="A71" s="17"/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</row>
    <row r="72" spans="1:41">
      <c r="A72" s="17"/>
      <c r="B72" s="18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</row>
    <row r="73" spans="1:41">
      <c r="A73" s="17"/>
      <c r="B73" s="18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</row>
    <row r="74" spans="1:41">
      <c r="A74" s="17"/>
      <c r="B74" s="18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</row>
    <row r="75" spans="1:41">
      <c r="A75" s="17"/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</row>
    <row r="76" spans="1:41">
      <c r="A76" s="17"/>
      <c r="B76" s="18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</row>
    <row r="77" spans="1:41">
      <c r="A77" s="17"/>
      <c r="B77" s="18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</row>
    <row r="78" spans="1:41">
      <c r="A78" s="17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</row>
    <row r="79" spans="1:41">
      <c r="A79" s="17"/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</row>
    <row r="80" spans="1:41">
      <c r="A80" s="17"/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</row>
    <row r="81" spans="1:19">
      <c r="A81" s="17"/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</row>
    <row r="82" spans="1:19">
      <c r="A82" s="17"/>
      <c r="B82" s="18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</row>
    <row r="83" spans="1:19">
      <c r="A83" s="17"/>
      <c r="B83" s="18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</row>
    <row r="84" spans="1:19">
      <c r="A84" s="17"/>
      <c r="B84" s="18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</row>
    <row r="85" spans="1:19">
      <c r="A85" s="17"/>
      <c r="B85" s="18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  <row r="86" spans="1:19">
      <c r="A86" s="17"/>
      <c r="B86" s="18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</row>
    <row r="87" spans="1:19">
      <c r="A87" s="17"/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</row>
    <row r="88" spans="1:19">
      <c r="A88" s="17"/>
      <c r="B88" s="18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</row>
    <row r="89" spans="1:19">
      <c r="A89" s="17"/>
      <c r="B89" s="18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</row>
    <row r="90" spans="1:19">
      <c r="A90" s="17"/>
      <c r="B90" s="18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</row>
    <row r="91" spans="1:19">
      <c r="A91" s="17"/>
      <c r="B91" s="18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</row>
    <row r="92" spans="1:19">
      <c r="A92" s="17"/>
      <c r="B92" s="18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</row>
    <row r="93" spans="1:19">
      <c r="A93" s="17"/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</row>
    <row r="94" spans="1:19">
      <c r="A94" s="17"/>
      <c r="B94" s="18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 spans="1:19">
      <c r="A95" s="17"/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</row>
    <row r="96" spans="1:19">
      <c r="A96" s="17"/>
      <c r="B96" s="18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</row>
    <row r="97" spans="1:19">
      <c r="A97" s="17"/>
      <c r="B97" s="18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</row>
    <row r="98" spans="1:19">
      <c r="A98" s="17"/>
      <c r="B98" s="18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</row>
    <row r="99" spans="1:19">
      <c r="A99" s="17"/>
      <c r="B99" s="18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</row>
    <row r="100" spans="1:19">
      <c r="A100" s="17"/>
      <c r="B100" s="18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</row>
    <row r="101" spans="1:19">
      <c r="A101" s="17"/>
      <c r="B101" s="18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</row>
    <row r="102" spans="1:19">
      <c r="A102" s="17"/>
      <c r="B102" s="18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</row>
    <row r="103" spans="1:19">
      <c r="A103" s="17"/>
      <c r="B103" s="18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 spans="1:19">
      <c r="A104" s="17"/>
      <c r="B104" s="18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</row>
    <row r="105" spans="1:19">
      <c r="A105" s="17"/>
      <c r="B105" s="18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</row>
    <row r="106" spans="1:19">
      <c r="A106" s="17"/>
      <c r="B106" s="18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</row>
    <row r="107" spans="1:19">
      <c r="A107" s="17"/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</row>
    <row r="108" spans="1:19">
      <c r="A108" s="17"/>
      <c r="B108" s="18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</row>
    <row r="109" spans="1:19">
      <c r="A109" s="17"/>
      <c r="B109" s="18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</row>
    <row r="110" spans="1:19">
      <c r="A110" s="17"/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  <row r="111" spans="1:19">
      <c r="A111" s="17"/>
      <c r="B111" s="18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</row>
    <row r="112" spans="1:19">
      <c r="A112" s="17"/>
      <c r="B112" s="18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</row>
    <row r="113" spans="1:19">
      <c r="A113" s="17"/>
      <c r="B113" s="18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</row>
    <row r="114" spans="1:19">
      <c r="A114" s="17"/>
      <c r="B114" s="18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</row>
    <row r="115" spans="1:19">
      <c r="A115" s="17"/>
      <c r="B115" s="18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</row>
    <row r="116" spans="1:19">
      <c r="A116" s="17"/>
      <c r="B116" s="18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</row>
    <row r="117" spans="1:19">
      <c r="A117" s="17"/>
      <c r="B117" s="18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</row>
    <row r="118" spans="1:19">
      <c r="A118" s="17"/>
      <c r="B118" s="18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</row>
    <row r="119" spans="1:19">
      <c r="A119" s="17"/>
      <c r="B119" s="18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</row>
    <row r="120" spans="1:19">
      <c r="A120" s="17"/>
      <c r="B120" s="18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</row>
    <row r="121" spans="1:19">
      <c r="A121" s="17"/>
      <c r="B121" s="18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</row>
    <row r="122" spans="1:19">
      <c r="A122" s="17"/>
      <c r="B122" s="18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</row>
    <row r="123" spans="1:19">
      <c r="A123" s="17"/>
      <c r="B123" s="18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</row>
    <row r="124" spans="1:19">
      <c r="A124" s="17"/>
      <c r="B124" s="18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</row>
    <row r="125" spans="1:19">
      <c r="A125" s="17"/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</row>
    <row r="126" spans="1:19">
      <c r="A126" s="17"/>
      <c r="B126" s="18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</row>
    <row r="127" spans="1:19">
      <c r="A127" s="17"/>
      <c r="B127" s="18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</row>
    <row r="128" spans="1:19">
      <c r="A128" s="17"/>
      <c r="B128" s="18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</row>
    <row r="129" spans="1:19">
      <c r="A129" s="17"/>
      <c r="B129" s="18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</row>
    <row r="130" spans="1:19">
      <c r="A130" s="17"/>
      <c r="B130" s="18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</row>
    <row r="131" spans="1:19">
      <c r="A131" s="17"/>
      <c r="B131" s="18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</row>
    <row r="132" spans="1:19">
      <c r="A132" s="17"/>
      <c r="B132" s="18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</row>
    <row r="133" spans="1:19">
      <c r="A133" s="17"/>
      <c r="B133" s="18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</row>
    <row r="134" spans="1:19">
      <c r="A134" s="17"/>
      <c r="B134" s="18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</row>
    <row r="135" spans="1:19">
      <c r="A135" s="17"/>
      <c r="B135" s="18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</row>
    <row r="136" spans="1:19">
      <c r="A136" s="17"/>
      <c r="B136" s="18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</row>
    <row r="137" spans="1:19">
      <c r="A137" s="17"/>
      <c r="B137" s="18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</row>
    <row r="138" spans="1:19">
      <c r="A138" s="17"/>
      <c r="B138" s="18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</row>
    <row r="139" spans="1:19">
      <c r="A139" s="17"/>
      <c r="B139" s="18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</row>
    <row r="140" spans="1:19">
      <c r="A140" s="17"/>
      <c r="B140" s="18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</row>
    <row r="141" spans="1:19">
      <c r="A141" s="17"/>
      <c r="B141" s="18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</row>
    <row r="142" spans="1:19">
      <c r="A142" s="17"/>
      <c r="B142" s="18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</row>
    <row r="143" spans="1:19">
      <c r="A143" s="17"/>
      <c r="B143" s="18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</row>
    <row r="144" spans="1:19">
      <c r="A144" s="17"/>
      <c r="B144" s="18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</row>
    <row r="145" spans="1:19">
      <c r="A145" s="17"/>
      <c r="B145" s="18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</row>
    <row r="146" spans="1:19">
      <c r="A146" s="17"/>
      <c r="B146" s="18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</row>
    <row r="147" spans="1:19">
      <c r="A147" s="17"/>
      <c r="B147" s="18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</row>
    <row r="148" spans="1:19">
      <c r="A148" s="17"/>
      <c r="B148" s="18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</row>
    <row r="149" spans="1:19">
      <c r="A149" s="17"/>
      <c r="B149" s="18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</row>
    <row r="150" spans="1:19">
      <c r="A150" s="17"/>
      <c r="B150" s="18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</row>
    <row r="151" spans="1:19">
      <c r="A151" s="17"/>
      <c r="B151" s="18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</row>
    <row r="152" spans="1:19">
      <c r="A152" s="17"/>
      <c r="B152" s="18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</row>
    <row r="153" spans="1:19">
      <c r="A153" s="17"/>
      <c r="B153" s="18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</row>
    <row r="154" spans="1:19">
      <c r="A154" s="17"/>
      <c r="B154" s="18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</row>
    <row r="155" spans="1:19">
      <c r="A155" s="17"/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</row>
    <row r="156" spans="1:19">
      <c r="A156" s="17"/>
      <c r="B156" s="18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</row>
    <row r="157" spans="1:19">
      <c r="A157" s="17"/>
      <c r="B157" s="18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</row>
    <row r="158" spans="1:19">
      <c r="A158" s="17"/>
      <c r="B158" s="18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</row>
    <row r="159" spans="1:19">
      <c r="A159" s="17"/>
      <c r="B159" s="18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</row>
    <row r="160" spans="1:19">
      <c r="A160" s="17"/>
      <c r="B160" s="18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</row>
    <row r="161" spans="1:19">
      <c r="A161" s="17"/>
      <c r="B161" s="18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</row>
    <row r="162" spans="1:19">
      <c r="A162" s="17"/>
      <c r="B162" s="18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</row>
    <row r="163" spans="1:19">
      <c r="A163" s="17"/>
      <c r="B163" s="18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</row>
    <row r="164" spans="1:19">
      <c r="A164" s="17"/>
      <c r="B164" s="18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</row>
    <row r="165" spans="1:19">
      <c r="A165" s="17"/>
      <c r="B165" s="18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</row>
    <row r="166" spans="1:19">
      <c r="A166" s="17"/>
      <c r="B166" s="18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</row>
    <row r="167" spans="1:19">
      <c r="A167" s="17"/>
      <c r="B167" s="18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</row>
    <row r="168" spans="1:19">
      <c r="A168" s="17"/>
      <c r="B168" s="18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</row>
    <row r="169" spans="1:19">
      <c r="A169" s="17"/>
      <c r="B169" s="18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</row>
    <row r="170" spans="1:19">
      <c r="A170" s="17"/>
      <c r="B170" s="18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</row>
    <row r="171" spans="1:19">
      <c r="A171" s="17"/>
      <c r="B171" s="18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</row>
    <row r="172" spans="1:19">
      <c r="A172" s="17"/>
      <c r="B172" s="18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</row>
    <row r="173" spans="1:19">
      <c r="A173" s="17"/>
      <c r="B173" s="18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</row>
    <row r="174" spans="1:19">
      <c r="A174" s="17"/>
      <c r="B174" s="18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</row>
    <row r="175" spans="1:19">
      <c r="A175" s="17"/>
      <c r="B175" s="18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</row>
    <row r="176" spans="1:19">
      <c r="A176" s="17"/>
      <c r="B176" s="18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</row>
    <row r="177" spans="1:19">
      <c r="A177" s="17"/>
      <c r="B177" s="18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</row>
    <row r="178" spans="1:19">
      <c r="A178" s="17"/>
      <c r="B178" s="18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</row>
    <row r="179" spans="1:19">
      <c r="A179" s="17"/>
      <c r="B179" s="18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</row>
    <row r="180" spans="1:19">
      <c r="A180" s="17"/>
      <c r="B180" s="18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</row>
    <row r="181" spans="1:19">
      <c r="A181" s="17"/>
      <c r="B181" s="18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</row>
    <row r="182" spans="1:19">
      <c r="A182" s="17"/>
      <c r="B182" s="18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</row>
    <row r="183" spans="1:19">
      <c r="A183" s="17"/>
      <c r="B183" s="18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</row>
    <row r="184" spans="1:19">
      <c r="A184" s="17"/>
      <c r="B184" s="18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</row>
    <row r="185" spans="1:19">
      <c r="A185" s="17"/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spans="1:19">
      <c r="A186" s="17"/>
      <c r="B186" s="18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spans="1:19">
      <c r="A187" s="17"/>
      <c r="B187" s="18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spans="1:19">
      <c r="A188" s="17"/>
      <c r="B188" s="18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19">
      <c r="A189" s="17"/>
      <c r="B189" s="18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19">
      <c r="A190" s="17"/>
      <c r="B190" s="18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19">
      <c r="A191" s="17"/>
      <c r="B191" s="18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19">
      <c r="A192" s="17"/>
      <c r="B192" s="18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19">
      <c r="A193" s="17"/>
      <c r="B193" s="18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19">
      <c r="A194" s="17"/>
      <c r="B194" s="18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19">
      <c r="A195" s="17"/>
      <c r="B195" s="18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19">
      <c r="A196" s="17"/>
      <c r="B196" s="18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19">
      <c r="A197" s="17"/>
      <c r="B197" s="18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  <row r="198" spans="1:19">
      <c r="A198" s="17"/>
      <c r="B198" s="18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</row>
    <row r="199" spans="1:19">
      <c r="A199" s="17"/>
      <c r="B199" s="18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</row>
    <row r="200" spans="1:19">
      <c r="A200" s="17"/>
      <c r="B200" s="18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</row>
    <row r="201" spans="1:19">
      <c r="A201" s="17"/>
      <c r="B201" s="18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</row>
    <row r="202" spans="1:19">
      <c r="A202" s="17"/>
      <c r="B202" s="18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</row>
    <row r="203" spans="1:19">
      <c r="A203" s="17"/>
      <c r="B203" s="18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</row>
    <row r="204" spans="1:19">
      <c r="A204" s="17"/>
      <c r="B204" s="18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</row>
    <row r="205" spans="1:19">
      <c r="A205" s="17"/>
      <c r="B205" s="18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</row>
    <row r="206" spans="1:19">
      <c r="A206" s="17"/>
      <c r="B206" s="18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</row>
    <row r="207" spans="1:19">
      <c r="A207" s="17"/>
      <c r="B207" s="18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</row>
    <row r="208" spans="1:19">
      <c r="A208" s="17"/>
      <c r="B208" s="18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</row>
    <row r="209" spans="1:19">
      <c r="A209" s="17"/>
      <c r="B209" s="18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</row>
    <row r="210" spans="1:19">
      <c r="A210" s="17"/>
      <c r="B210" s="18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</row>
    <row r="211" spans="1:19">
      <c r="A211" s="17"/>
      <c r="B211" s="18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</row>
    <row r="212" spans="1:19">
      <c r="A212" s="17"/>
      <c r="B212" s="18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 spans="1:19">
      <c r="A213" s="17"/>
      <c r="B213" s="18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 spans="1:19">
      <c r="A214" s="17"/>
      <c r="B214" s="18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 spans="1:19">
      <c r="A215" s="17"/>
      <c r="B215" s="18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 spans="1:19">
      <c r="A216" s="17"/>
      <c r="B216" s="18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 spans="1:19">
      <c r="A217" s="17"/>
      <c r="B217" s="18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  <row r="218" spans="1:19">
      <c r="A218" s="17"/>
      <c r="B218" s="18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</row>
    <row r="219" spans="1:19">
      <c r="A219" s="17"/>
      <c r="B219" s="18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</row>
    <row r="220" spans="1:19">
      <c r="A220" s="17"/>
      <c r="B220" s="18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</row>
    <row r="221" spans="1:19">
      <c r="A221" s="17"/>
      <c r="B221" s="18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</row>
    <row r="222" spans="1:19">
      <c r="A222" s="17"/>
      <c r="B222" s="18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</row>
    <row r="223" spans="1:19">
      <c r="A223" s="17"/>
      <c r="B223" s="18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</row>
    <row r="224" spans="1:19">
      <c r="A224" s="17"/>
      <c r="B224" s="18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</row>
    <row r="225" spans="1:19">
      <c r="A225" s="17"/>
      <c r="B225" s="18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</row>
    <row r="226" spans="1:19">
      <c r="A226" s="17"/>
      <c r="B226" s="18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</row>
    <row r="227" spans="1:19">
      <c r="A227" s="17"/>
      <c r="B227" s="18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</row>
    <row r="228" spans="1:19">
      <c r="A228" s="17"/>
      <c r="B228" s="18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</row>
    <row r="229" spans="1:19">
      <c r="A229" s="17"/>
      <c r="B229" s="18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</row>
    <row r="230" spans="1:19">
      <c r="A230" s="17"/>
      <c r="B230" s="18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</row>
    <row r="231" spans="1:19">
      <c r="A231" s="17"/>
      <c r="B231" s="18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</row>
    <row r="232" spans="1:19">
      <c r="A232" s="17"/>
      <c r="B232" s="18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</row>
    <row r="233" spans="1:19">
      <c r="A233" s="17"/>
      <c r="B233" s="18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</row>
    <row r="234" spans="1:19">
      <c r="A234" s="17"/>
      <c r="B234" s="18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</row>
    <row r="235" spans="1:19">
      <c r="A235" s="17"/>
      <c r="B235" s="18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</row>
    <row r="236" spans="1:19">
      <c r="A236" s="17"/>
      <c r="B236" s="18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</row>
    <row r="237" spans="1:19">
      <c r="A237" s="17"/>
      <c r="B237" s="18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</row>
    <row r="238" spans="1:19">
      <c r="A238" s="17"/>
      <c r="B238" s="18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</row>
    <row r="239" spans="1:19">
      <c r="A239" s="17"/>
      <c r="B239" s="18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</row>
    <row r="240" spans="1:19">
      <c r="A240" s="17"/>
      <c r="B240" s="18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</row>
    <row r="241" spans="1:19">
      <c r="A241" s="17"/>
      <c r="B241" s="18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</row>
    <row r="242" spans="1:19">
      <c r="A242" s="17"/>
      <c r="B242" s="18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</row>
    <row r="243" spans="1:19">
      <c r="A243" s="17"/>
      <c r="B243" s="18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</row>
    <row r="244" spans="1:19">
      <c r="A244" s="17"/>
      <c r="B244" s="18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</row>
    <row r="245" spans="1:19">
      <c r="A245" s="17"/>
      <c r="B245" s="18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</row>
    <row r="246" spans="1:19">
      <c r="A246" s="17"/>
      <c r="B246" s="18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</row>
    <row r="247" spans="1:19">
      <c r="A247" s="17"/>
      <c r="B247" s="18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</row>
    <row r="248" spans="1:19">
      <c r="A248" s="17"/>
      <c r="B248" s="18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</row>
    <row r="249" spans="1:19">
      <c r="A249" s="17"/>
      <c r="B249" s="18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</row>
    <row r="250" spans="1:19">
      <c r="A250" s="17"/>
      <c r="B250" s="18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</row>
    <row r="251" spans="1:19">
      <c r="A251" s="17"/>
      <c r="B251" s="18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</row>
    <row r="252" spans="1:19">
      <c r="A252" s="17"/>
      <c r="B252" s="18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</row>
    <row r="253" spans="1:19">
      <c r="A253" s="17"/>
      <c r="B253" s="18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</row>
    <row r="254" spans="1:19">
      <c r="A254" s="17"/>
      <c r="B254" s="18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19">
      <c r="A255" s="17"/>
      <c r="B255" s="18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19">
      <c r="A256" s="17"/>
      <c r="B256" s="18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19">
      <c r="A257" s="17"/>
      <c r="B257" s="18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19">
      <c r="A258" s="17"/>
      <c r="B258" s="18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19">
      <c r="A259" s="17"/>
      <c r="B259" s="18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  <row r="260" spans="1:19">
      <c r="A260" s="17"/>
      <c r="B260" s="18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</row>
    <row r="261" spans="1:19">
      <c r="A261" s="17"/>
      <c r="B261" s="18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</row>
    <row r="262" spans="1:19">
      <c r="A262" s="17"/>
      <c r="B262" s="18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</row>
    <row r="263" spans="1:19">
      <c r="A263" s="17"/>
      <c r="B263" s="18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</row>
    <row r="264" spans="1:19">
      <c r="A264" s="17"/>
      <c r="B264" s="18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</row>
    <row r="265" spans="1:19">
      <c r="A265" s="17"/>
      <c r="B265" s="18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</row>
    <row r="266" spans="1:19">
      <c r="A266" s="17"/>
      <c r="B266" s="18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</row>
    <row r="267" spans="1:19">
      <c r="A267" s="17"/>
      <c r="B267" s="18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</row>
    <row r="268" spans="1:19">
      <c r="A268" s="17"/>
      <c r="B268" s="18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</row>
    <row r="269" spans="1:19">
      <c r="A269" s="17"/>
      <c r="B269" s="18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</row>
    <row r="270" spans="1:19">
      <c r="A270" s="17"/>
      <c r="B270" s="18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</row>
    <row r="271" spans="1:19">
      <c r="A271" s="17"/>
      <c r="B271" s="18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</row>
    <row r="272" spans="1:19">
      <c r="A272" s="17"/>
      <c r="B272" s="18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</row>
    <row r="273" spans="1:19">
      <c r="A273" s="17"/>
      <c r="B273" s="18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</row>
    <row r="274" spans="1:19">
      <c r="A274" s="17"/>
      <c r="B274" s="18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19">
      <c r="A275" s="17"/>
      <c r="B275" s="18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19">
      <c r="A276" s="17"/>
      <c r="B276" s="18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19">
      <c r="A277" s="17"/>
      <c r="B277" s="18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19">
      <c r="A278" s="17"/>
      <c r="B278" s="18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19">
      <c r="A279" s="17"/>
      <c r="B279" s="18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  <row r="280" spans="1:19">
      <c r="A280" s="17"/>
      <c r="B280" s="18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</row>
    <row r="281" spans="1:19">
      <c r="A281" s="17"/>
      <c r="B281" s="18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</row>
    <row r="282" spans="1:19">
      <c r="A282" s="17"/>
      <c r="B282" s="18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</row>
    <row r="283" spans="1:19">
      <c r="A283" s="17"/>
      <c r="B283" s="18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</row>
    <row r="284" spans="1:19">
      <c r="A284" s="17"/>
      <c r="B284" s="18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</row>
    <row r="285" spans="1:19">
      <c r="A285" s="17"/>
      <c r="B285" s="18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</row>
    <row r="286" spans="1:19">
      <c r="A286" s="17"/>
      <c r="B286" s="18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</row>
    <row r="287" spans="1:19">
      <c r="A287" s="17"/>
      <c r="B287" s="18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</row>
    <row r="288" spans="1:19">
      <c r="A288" s="17"/>
      <c r="B288" s="18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</row>
    <row r="289" spans="1:2">
      <c r="A289" s="17"/>
      <c r="B289" s="18"/>
    </row>
    <row r="290" spans="1:2">
      <c r="A290" s="17"/>
      <c r="B290" s="18"/>
    </row>
    <row r="291" spans="1:2">
      <c r="A291" s="17"/>
      <c r="B291" s="18"/>
    </row>
    <row r="292" spans="1:2">
      <c r="A292" s="17"/>
      <c r="B292" s="18"/>
    </row>
    <row r="293" spans="1:2">
      <c r="A293" s="17"/>
      <c r="B293" s="18"/>
    </row>
    <row r="294" spans="1:2">
      <c r="A294" s="17"/>
      <c r="B294" s="18"/>
    </row>
    <row r="295" spans="1:2">
      <c r="A295" s="17"/>
      <c r="B295" s="18"/>
    </row>
    <row r="296" spans="1:2">
      <c r="A296" s="17"/>
      <c r="B296" s="18"/>
    </row>
    <row r="297" spans="1:2">
      <c r="A297" s="17"/>
      <c r="B297" s="18"/>
    </row>
    <row r="298" spans="1:2">
      <c r="A298" s="17"/>
      <c r="B298" s="18"/>
    </row>
    <row r="299" spans="1:2">
      <c r="A299" s="17"/>
      <c r="B299" s="18"/>
    </row>
    <row r="300" spans="1:2">
      <c r="A300" s="17"/>
      <c r="B300" s="18"/>
    </row>
    <row r="301" spans="1:2">
      <c r="A301" s="17"/>
      <c r="B301" s="18"/>
    </row>
    <row r="302" spans="1:2">
      <c r="A302" s="17"/>
      <c r="B302" s="18"/>
    </row>
    <row r="303" spans="1:2">
      <c r="A303" s="17"/>
      <c r="B303" s="18"/>
    </row>
    <row r="304" spans="1:2">
      <c r="A304" s="17"/>
      <c r="B304" s="18"/>
    </row>
    <row r="305" spans="1:2">
      <c r="A305" s="17"/>
      <c r="B305" s="18"/>
    </row>
    <row r="306" spans="1:2">
      <c r="A306" s="17"/>
      <c r="B306" s="18"/>
    </row>
    <row r="307" spans="1:2">
      <c r="A307" s="17"/>
      <c r="B307" s="18"/>
    </row>
    <row r="308" spans="1:2">
      <c r="A308" s="17"/>
      <c r="B308" s="18"/>
    </row>
    <row r="309" spans="1:2">
      <c r="A309" s="17"/>
      <c r="B309" s="18"/>
    </row>
    <row r="310" spans="1:2">
      <c r="A310" s="17"/>
      <c r="B310" s="18"/>
    </row>
    <row r="311" spans="1:2">
      <c r="A311" s="17"/>
      <c r="B311" s="18"/>
    </row>
    <row r="312" spans="1:2">
      <c r="A312" s="17"/>
      <c r="B312" s="18"/>
    </row>
    <row r="313" spans="1:2">
      <c r="A313" s="17"/>
      <c r="B313" s="18"/>
    </row>
    <row r="314" spans="1:2">
      <c r="A314" s="17"/>
      <c r="B314" s="18"/>
    </row>
    <row r="315" spans="1:2">
      <c r="A315" s="17"/>
      <c r="B315" s="18"/>
    </row>
    <row r="316" spans="1:2">
      <c r="A316" s="17"/>
      <c r="B316" s="18"/>
    </row>
    <row r="317" spans="1:2">
      <c r="A317" s="17"/>
      <c r="B317" s="18"/>
    </row>
    <row r="318" spans="1:2">
      <c r="A318" s="17"/>
      <c r="B318" s="18"/>
    </row>
    <row r="319" spans="1:2">
      <c r="A319" s="17"/>
      <c r="B319" s="18"/>
    </row>
    <row r="320" spans="1:2">
      <c r="A320" s="17"/>
      <c r="B320" s="18"/>
    </row>
    <row r="321" spans="1:2">
      <c r="A321" s="17"/>
      <c r="B321" s="18"/>
    </row>
    <row r="322" spans="1:2">
      <c r="A322" s="17"/>
      <c r="B322" s="18"/>
    </row>
    <row r="323" spans="1:2">
      <c r="A323" s="17"/>
      <c r="B323" s="18"/>
    </row>
    <row r="324" spans="1:2">
      <c r="A324" s="17"/>
      <c r="B324" s="18"/>
    </row>
    <row r="325" spans="1:2">
      <c r="A325" s="17"/>
      <c r="B325" s="18"/>
    </row>
    <row r="326" spans="1:2">
      <c r="A326" s="17"/>
      <c r="B326" s="18"/>
    </row>
    <row r="327" spans="1:2">
      <c r="A327" s="17"/>
      <c r="B327" s="18"/>
    </row>
    <row r="328" spans="1:2">
      <c r="A328" s="17"/>
      <c r="B328" s="18"/>
    </row>
    <row r="329" spans="1:2">
      <c r="A329" s="17"/>
      <c r="B329" s="18"/>
    </row>
    <row r="330" spans="1:2">
      <c r="A330" s="17"/>
      <c r="B330" s="18"/>
    </row>
    <row r="331" spans="1:2">
      <c r="A331" s="17"/>
      <c r="B331" s="18"/>
    </row>
    <row r="332" spans="1:2">
      <c r="A332" s="17"/>
      <c r="B332" s="18"/>
    </row>
    <row r="333" spans="1:2">
      <c r="A333" s="17"/>
      <c r="B333" s="18"/>
    </row>
    <row r="334" spans="1:2">
      <c r="A334" s="17"/>
      <c r="B334" s="18"/>
    </row>
    <row r="335" spans="1:2">
      <c r="A335" s="17"/>
      <c r="B335" s="18"/>
    </row>
    <row r="336" spans="1:2">
      <c r="A336" s="17"/>
      <c r="B336" s="18"/>
    </row>
    <row r="337" spans="1:2">
      <c r="A337" s="17"/>
      <c r="B337" s="18"/>
    </row>
    <row r="338" spans="1:2">
      <c r="A338" s="17"/>
      <c r="B338" s="18"/>
    </row>
    <row r="339" spans="1:2">
      <c r="A339" s="17"/>
      <c r="B339" s="18"/>
    </row>
    <row r="340" spans="1:2">
      <c r="A340" s="17"/>
      <c r="B340" s="18"/>
    </row>
    <row r="341" spans="1:2">
      <c r="A341" s="17"/>
      <c r="B341" s="18"/>
    </row>
    <row r="342" spans="1:2">
      <c r="A342" s="17"/>
      <c r="B342" s="18"/>
    </row>
    <row r="343" spans="1:2">
      <c r="A343" s="17"/>
      <c r="B343" s="18"/>
    </row>
    <row r="344" spans="1:2">
      <c r="A344" s="17"/>
      <c r="B344" s="18"/>
    </row>
    <row r="345" spans="1:2">
      <c r="A345" s="17"/>
      <c r="B345" s="18"/>
    </row>
    <row r="346" spans="1:2">
      <c r="A346" s="17"/>
      <c r="B346" s="18"/>
    </row>
    <row r="347" spans="1:2">
      <c r="A347" s="17"/>
      <c r="B347" s="18"/>
    </row>
    <row r="348" spans="1:2">
      <c r="A348" s="17"/>
      <c r="B348" s="18"/>
    </row>
    <row r="349" spans="1:2">
      <c r="A349" s="17"/>
      <c r="B349" s="18"/>
    </row>
    <row r="350" spans="1:2">
      <c r="A350" s="17"/>
      <c r="B350" s="18"/>
    </row>
    <row r="351" spans="1:2">
      <c r="A351" s="17"/>
      <c r="B351" s="18"/>
    </row>
    <row r="352" spans="1:2">
      <c r="A352" s="17"/>
      <c r="B352" s="18"/>
    </row>
    <row r="353" spans="1:2">
      <c r="A353" s="17"/>
      <c r="B353" s="18"/>
    </row>
    <row r="354" spans="1:2">
      <c r="A354" s="17"/>
      <c r="B354" s="18"/>
    </row>
    <row r="355" spans="1:2">
      <c r="A355" s="17"/>
      <c r="B355" s="18"/>
    </row>
    <row r="356" spans="1:2">
      <c r="A356" s="17"/>
      <c r="B356" s="18"/>
    </row>
    <row r="357" spans="1:2">
      <c r="A357" s="17"/>
      <c r="B357" s="18"/>
    </row>
    <row r="358" spans="1:2">
      <c r="A358" s="17"/>
      <c r="B358" s="18"/>
    </row>
    <row r="359" spans="1:2">
      <c r="A359" s="17"/>
      <c r="B359" s="18"/>
    </row>
    <row r="360" spans="1:2">
      <c r="A360" s="17"/>
      <c r="B360" s="18"/>
    </row>
    <row r="361" spans="1:2">
      <c r="A361" s="17"/>
      <c r="B361" s="18"/>
    </row>
    <row r="362" spans="1:2">
      <c r="A362" s="17"/>
      <c r="B362" s="18"/>
    </row>
    <row r="363" spans="1:2">
      <c r="A363" s="17"/>
      <c r="B363" s="18"/>
    </row>
    <row r="364" spans="1:2">
      <c r="A364" s="17"/>
      <c r="B364" s="18"/>
    </row>
    <row r="365" spans="1:2">
      <c r="A365" s="17"/>
      <c r="B365" s="18"/>
    </row>
    <row r="366" spans="1:2">
      <c r="A366" s="17"/>
      <c r="B366" s="18"/>
    </row>
    <row r="367" spans="1:2">
      <c r="A367" s="17"/>
      <c r="B367" s="18"/>
    </row>
    <row r="368" spans="1:2">
      <c r="A368" s="17"/>
      <c r="B368" s="18"/>
    </row>
    <row r="369" spans="1:2">
      <c r="A369" s="17"/>
      <c r="B369" s="18"/>
    </row>
    <row r="370" spans="1:2">
      <c r="A370" s="17"/>
      <c r="B370" s="18"/>
    </row>
    <row r="371" spans="1:2">
      <c r="A371" s="17"/>
      <c r="B371" s="18"/>
    </row>
    <row r="372" spans="1:2">
      <c r="A372" s="17"/>
      <c r="B372" s="18"/>
    </row>
    <row r="373" spans="1:2">
      <c r="A373" s="17"/>
      <c r="B373" s="18"/>
    </row>
    <row r="374" spans="1:2">
      <c r="A374" s="17"/>
      <c r="B374" s="18"/>
    </row>
    <row r="375" spans="1:2">
      <c r="A375" s="17"/>
      <c r="B375" s="18"/>
    </row>
    <row r="376" spans="1:2">
      <c r="A376" s="17"/>
      <c r="B376" s="18"/>
    </row>
    <row r="377" spans="1:2">
      <c r="A377" s="17"/>
      <c r="B377" s="18"/>
    </row>
    <row r="378" spans="1:2">
      <c r="A378" s="17"/>
      <c r="B378" s="18"/>
    </row>
    <row r="379" spans="1:2">
      <c r="A379" s="17"/>
      <c r="B379" s="18"/>
    </row>
    <row r="380" spans="1:2">
      <c r="A380" s="17"/>
      <c r="B380" s="18"/>
    </row>
    <row r="381" spans="1:2">
      <c r="A381" s="17"/>
      <c r="B381" s="18"/>
    </row>
    <row r="382" spans="1:2">
      <c r="A382" s="17"/>
      <c r="B382" s="18"/>
    </row>
    <row r="383" spans="1:2">
      <c r="A383" s="17"/>
      <c r="B383" s="18"/>
    </row>
    <row r="384" spans="1:2">
      <c r="A384" s="17"/>
      <c r="B384" s="18"/>
    </row>
    <row r="385" spans="1:2">
      <c r="A385" s="17"/>
      <c r="B385" s="18"/>
    </row>
    <row r="386" spans="1:2">
      <c r="A386" s="17"/>
      <c r="B386" s="18"/>
    </row>
    <row r="387" spans="1:2">
      <c r="A387" s="17"/>
      <c r="B387" s="18"/>
    </row>
    <row r="388" spans="1:2">
      <c r="A388" s="17"/>
      <c r="B388" s="18"/>
    </row>
    <row r="389" spans="1:2">
      <c r="A389" s="17"/>
      <c r="B389" s="18"/>
    </row>
    <row r="390" spans="1:2">
      <c r="A390" s="17"/>
      <c r="B390" s="18"/>
    </row>
    <row r="391" spans="1:2">
      <c r="A391" s="17"/>
      <c r="B391" s="18"/>
    </row>
    <row r="392" spans="1:2">
      <c r="A392" s="17"/>
      <c r="B392" s="18"/>
    </row>
    <row r="393" spans="1:2">
      <c r="A393" s="17"/>
      <c r="B393" s="18"/>
    </row>
    <row r="394" spans="1:2">
      <c r="A394" s="17"/>
      <c r="B394" s="18"/>
    </row>
    <row r="395" spans="1:2">
      <c r="A395" s="17"/>
      <c r="B395" s="18"/>
    </row>
    <row r="396" spans="1:2">
      <c r="A396" s="17"/>
      <c r="B396" s="18"/>
    </row>
    <row r="397" spans="1:2">
      <c r="A397" s="17"/>
      <c r="B397" s="18"/>
    </row>
    <row r="398" spans="1:2">
      <c r="A398" s="17"/>
      <c r="B398" s="18"/>
    </row>
    <row r="399" spans="1:2">
      <c r="A399" s="17"/>
      <c r="B399" s="18"/>
    </row>
    <row r="400" spans="1:2">
      <c r="A400" s="17"/>
      <c r="B400" s="18"/>
    </row>
    <row r="401" spans="1:2">
      <c r="A401" s="17"/>
      <c r="B401" s="18"/>
    </row>
    <row r="402" spans="1:2">
      <c r="A402" s="17"/>
      <c r="B402" s="18"/>
    </row>
    <row r="403" spans="1:2">
      <c r="A403" s="17"/>
      <c r="B403" s="18"/>
    </row>
    <row r="404" spans="1:2">
      <c r="A404" s="17"/>
      <c r="B404" s="18"/>
    </row>
    <row r="405" spans="1:2">
      <c r="A405" s="17"/>
      <c r="B405" s="18"/>
    </row>
    <row r="406" spans="1:2">
      <c r="A406" s="17"/>
      <c r="B406" s="18"/>
    </row>
    <row r="407" spans="1:2">
      <c r="A407" s="17"/>
      <c r="B407" s="18"/>
    </row>
    <row r="408" spans="1:2">
      <c r="A408" s="17"/>
      <c r="B408" s="18"/>
    </row>
    <row r="409" spans="1:2">
      <c r="A409" s="17"/>
      <c r="B409" s="18"/>
    </row>
    <row r="410" spans="1:2">
      <c r="A410" s="17"/>
      <c r="B410" s="18"/>
    </row>
    <row r="411" spans="1:2">
      <c r="A411" s="17"/>
      <c r="B411" s="18"/>
    </row>
    <row r="412" spans="1:2">
      <c r="A412" s="17"/>
      <c r="B412" s="18"/>
    </row>
    <row r="413" spans="1:2">
      <c r="A413" s="17"/>
      <c r="B413" s="18"/>
    </row>
    <row r="414" spans="1:2">
      <c r="A414" s="17"/>
      <c r="B414" s="18"/>
    </row>
    <row r="415" spans="1:2">
      <c r="A415" s="17"/>
      <c r="B415" s="18"/>
    </row>
    <row r="416" spans="1:2">
      <c r="A416" s="17"/>
      <c r="B416" s="18"/>
    </row>
    <row r="417" spans="1:2">
      <c r="A417" s="17"/>
      <c r="B417" s="18"/>
    </row>
    <row r="418" spans="1:2">
      <c r="A418" s="17"/>
      <c r="B418" s="18"/>
    </row>
    <row r="419" spans="1:2">
      <c r="A419" s="17"/>
      <c r="B419" s="18"/>
    </row>
    <row r="420" spans="1:2">
      <c r="A420" s="17"/>
      <c r="B420" s="18"/>
    </row>
    <row r="421" spans="1:2">
      <c r="A421" s="17"/>
      <c r="B421" s="18"/>
    </row>
    <row r="422" spans="1:2">
      <c r="A422" s="17"/>
      <c r="B422" s="18"/>
    </row>
    <row r="423" spans="1:2">
      <c r="A423" s="17"/>
      <c r="B423" s="18"/>
    </row>
    <row r="424" spans="1:2">
      <c r="A424" s="17"/>
      <c r="B424" s="18"/>
    </row>
    <row r="425" spans="1:2">
      <c r="A425" s="17"/>
      <c r="B425" s="18"/>
    </row>
    <row r="426" spans="1:2">
      <c r="A426" s="17"/>
      <c r="B426" s="18"/>
    </row>
    <row r="427" spans="1:2">
      <c r="A427" s="17"/>
      <c r="B427" s="18"/>
    </row>
    <row r="428" spans="1:2">
      <c r="A428" s="17"/>
      <c r="B428" s="18"/>
    </row>
    <row r="429" spans="1:2">
      <c r="A429" s="17"/>
      <c r="B429" s="18"/>
    </row>
    <row r="430" spans="1:2">
      <c r="A430" s="17"/>
      <c r="B430" s="18"/>
    </row>
    <row r="431" spans="1:2">
      <c r="A431" s="17"/>
      <c r="B431" s="18"/>
    </row>
    <row r="432" spans="1:2">
      <c r="A432" s="17"/>
      <c r="B432" s="18"/>
    </row>
    <row r="433" spans="1:2">
      <c r="A433" s="17"/>
      <c r="B433" s="18"/>
    </row>
    <row r="434" spans="1:2">
      <c r="A434" s="17"/>
      <c r="B434" s="18"/>
    </row>
    <row r="435" spans="1:2">
      <c r="A435" s="17"/>
      <c r="B435" s="18"/>
    </row>
    <row r="436" spans="1:2">
      <c r="A436" s="17"/>
      <c r="B436" s="18"/>
    </row>
    <row r="437" spans="1:2">
      <c r="A437" s="17"/>
      <c r="B437" s="18"/>
    </row>
    <row r="438" spans="1:2">
      <c r="A438" s="17"/>
      <c r="B438" s="18"/>
    </row>
    <row r="439" spans="1:2">
      <c r="A439" s="17"/>
      <c r="B439" s="18"/>
    </row>
    <row r="440" spans="1:2">
      <c r="A440" s="17"/>
      <c r="B440" s="18"/>
    </row>
    <row r="441" spans="1:2">
      <c r="A441" s="17"/>
      <c r="B441" s="18"/>
    </row>
    <row r="442" spans="1:2">
      <c r="A442" s="17"/>
      <c r="B442" s="18"/>
    </row>
    <row r="443" spans="1:2">
      <c r="A443" s="17"/>
      <c r="B443" s="18"/>
    </row>
    <row r="444" spans="1:2">
      <c r="A444" s="17"/>
      <c r="B444" s="18"/>
    </row>
    <row r="445" spans="1:2">
      <c r="A445" s="17"/>
      <c r="B445" s="18"/>
    </row>
    <row r="446" spans="1:2">
      <c r="A446" s="17"/>
      <c r="B446" s="18"/>
    </row>
    <row r="447" spans="1:2">
      <c r="A447" s="17"/>
      <c r="B447" s="18"/>
    </row>
    <row r="448" spans="1:2">
      <c r="A448" s="17"/>
      <c r="B448" s="18"/>
    </row>
    <row r="449" spans="1:2">
      <c r="A449" s="17"/>
      <c r="B449" s="18"/>
    </row>
    <row r="450" spans="1:2">
      <c r="A450" s="17"/>
      <c r="B450" s="18"/>
    </row>
    <row r="451" spans="1:2">
      <c r="A451" s="17"/>
      <c r="B451" s="18"/>
    </row>
    <row r="452" spans="1:2">
      <c r="A452" s="17"/>
      <c r="B452" s="18"/>
    </row>
    <row r="453" spans="1:2">
      <c r="A453" s="17"/>
      <c r="B453" s="18"/>
    </row>
    <row r="454" spans="1:2">
      <c r="A454" s="17"/>
      <c r="B454" s="18"/>
    </row>
    <row r="455" spans="1:2">
      <c r="A455" s="17"/>
      <c r="B455" s="18"/>
    </row>
    <row r="456" spans="1:2">
      <c r="A456" s="17"/>
      <c r="B456" s="18"/>
    </row>
    <row r="457" spans="1:2">
      <c r="A457" s="17"/>
      <c r="B457" s="18"/>
    </row>
    <row r="458" spans="1:2">
      <c r="A458" s="17"/>
      <c r="B458" s="18"/>
    </row>
    <row r="459" spans="1:2">
      <c r="A459" s="17"/>
      <c r="B459" s="18"/>
    </row>
    <row r="460" spans="1:2">
      <c r="A460" s="17"/>
      <c r="B460" s="18"/>
    </row>
    <row r="461" spans="1:2">
      <c r="A461" s="17"/>
      <c r="B461" s="18"/>
    </row>
    <row r="462" spans="1:2">
      <c r="A462" s="17"/>
      <c r="B462" s="18"/>
    </row>
    <row r="463" spans="1:2">
      <c r="A463" s="17"/>
      <c r="B463" s="18"/>
    </row>
    <row r="464" spans="1:2">
      <c r="A464" s="17"/>
      <c r="B464" s="18"/>
    </row>
    <row r="465" spans="1:2">
      <c r="A465" s="17"/>
      <c r="B465" s="18"/>
    </row>
    <row r="466" spans="1:2">
      <c r="A466" s="17"/>
      <c r="B466" s="18"/>
    </row>
    <row r="467" spans="1:2">
      <c r="A467" s="17"/>
      <c r="B467" s="18"/>
    </row>
    <row r="468" spans="1:2">
      <c r="A468" s="17"/>
      <c r="B468" s="18"/>
    </row>
    <row r="469" spans="1:2">
      <c r="A469" s="17"/>
      <c r="B469" s="18"/>
    </row>
    <row r="470" spans="1:2">
      <c r="A470" s="17"/>
      <c r="B470" s="18"/>
    </row>
    <row r="471" spans="1:2">
      <c r="A471" s="17"/>
      <c r="B471" s="18"/>
    </row>
    <row r="472" spans="1:2">
      <c r="A472" s="17"/>
      <c r="B472" s="18"/>
    </row>
    <row r="473" spans="1:2">
      <c r="A473" s="17"/>
      <c r="B473" s="18"/>
    </row>
    <row r="474" spans="1:2">
      <c r="A474" s="17"/>
      <c r="B474" s="18"/>
    </row>
    <row r="475" spans="1:2">
      <c r="A475" s="17"/>
      <c r="B475" s="18"/>
    </row>
    <row r="476" spans="1:2">
      <c r="A476" s="17"/>
      <c r="B476" s="18"/>
    </row>
    <row r="477" spans="1:2">
      <c r="A477" s="17"/>
      <c r="B477" s="18"/>
    </row>
    <row r="478" spans="1:2">
      <c r="A478" s="17"/>
      <c r="B478" s="18"/>
    </row>
    <row r="479" spans="1:2">
      <c r="A479" s="17"/>
      <c r="B479" s="18"/>
    </row>
    <row r="480" spans="1:2">
      <c r="A480" s="17"/>
      <c r="B480" s="18"/>
    </row>
    <row r="481" spans="1:2">
      <c r="A481" s="17"/>
      <c r="B481" s="18"/>
    </row>
    <row r="482" spans="1:2">
      <c r="A482" s="17"/>
      <c r="B482" s="18"/>
    </row>
    <row r="483" spans="1:2">
      <c r="A483" s="17"/>
      <c r="B483" s="18"/>
    </row>
    <row r="484" spans="1:2">
      <c r="A484" s="17"/>
      <c r="B484" s="18"/>
    </row>
    <row r="485" spans="1:2">
      <c r="A485" s="17"/>
      <c r="B485" s="18"/>
    </row>
    <row r="486" spans="1:2">
      <c r="A486" s="17"/>
      <c r="B486" s="18"/>
    </row>
    <row r="487" spans="1:2">
      <c r="A487" s="17"/>
      <c r="B487" s="18"/>
    </row>
    <row r="488" spans="1:2">
      <c r="A488" s="17"/>
      <c r="B488" s="18"/>
    </row>
    <row r="489" spans="1:2">
      <c r="A489" s="17"/>
      <c r="B489" s="18"/>
    </row>
    <row r="490" spans="1:2">
      <c r="A490" s="17"/>
      <c r="B490" s="18"/>
    </row>
    <row r="491" spans="1:2">
      <c r="A491" s="17"/>
      <c r="B491" s="18"/>
    </row>
    <row r="492" spans="1:2">
      <c r="A492" s="17"/>
      <c r="B492" s="18"/>
    </row>
    <row r="493" spans="1:2">
      <c r="A493" s="17"/>
      <c r="B493" s="18"/>
    </row>
    <row r="494" spans="1:2">
      <c r="A494" s="17"/>
      <c r="B494" s="18"/>
    </row>
    <row r="495" spans="1:2">
      <c r="A495" s="17"/>
      <c r="B495" s="18"/>
    </row>
    <row r="496" spans="1:2">
      <c r="A496" s="17"/>
      <c r="B496" s="18"/>
    </row>
    <row r="497" spans="1:2">
      <c r="A497" s="17"/>
      <c r="B497" s="18"/>
    </row>
    <row r="498" spans="1:2">
      <c r="A498" s="17"/>
      <c r="B498" s="18"/>
    </row>
    <row r="499" spans="1:2">
      <c r="A499" s="17"/>
      <c r="B499" s="18"/>
    </row>
    <row r="500" spans="1:2">
      <c r="A500" s="17"/>
      <c r="B500" s="18"/>
    </row>
    <row r="501" spans="1:2">
      <c r="A501" s="17"/>
      <c r="B501" s="18"/>
    </row>
    <row r="502" spans="1:2">
      <c r="A502" s="17"/>
      <c r="B502" s="18"/>
    </row>
    <row r="503" spans="1:2">
      <c r="A503" s="17"/>
      <c r="B503" s="18"/>
    </row>
    <row r="504" spans="1:2">
      <c r="A504" s="17"/>
      <c r="B504" s="18"/>
    </row>
    <row r="505" spans="1:2">
      <c r="A505" s="17"/>
      <c r="B505" s="18"/>
    </row>
    <row r="506" spans="1:2">
      <c r="A506" s="17"/>
      <c r="B506" s="18"/>
    </row>
    <row r="507" spans="1:2">
      <c r="A507" s="17"/>
      <c r="B507" s="18"/>
    </row>
    <row r="508" spans="1:2">
      <c r="A508" s="17"/>
      <c r="B508" s="18"/>
    </row>
    <row r="509" spans="1:2">
      <c r="A509" s="17"/>
      <c r="B509" s="18"/>
    </row>
    <row r="510" spans="1:2">
      <c r="A510" s="17"/>
      <c r="B510" s="18"/>
    </row>
    <row r="511" spans="1:2">
      <c r="A511" s="17"/>
      <c r="B511" s="18"/>
    </row>
    <row r="512" spans="1:2">
      <c r="A512" s="17"/>
      <c r="B512" s="18"/>
    </row>
    <row r="513" spans="1:2">
      <c r="A513" s="17"/>
      <c r="B513" s="18"/>
    </row>
    <row r="514" spans="1:2">
      <c r="A514" s="17"/>
      <c r="B514" s="18"/>
    </row>
    <row r="515" spans="1:2">
      <c r="A515" s="17"/>
      <c r="B515" s="18"/>
    </row>
    <row r="516" spans="1:2">
      <c r="A516" s="17"/>
      <c r="B516" s="18"/>
    </row>
    <row r="517" spans="1:2">
      <c r="A517" s="17"/>
      <c r="B517" s="18"/>
    </row>
    <row r="518" spans="1:2">
      <c r="A518" s="17"/>
      <c r="B518" s="18"/>
    </row>
    <row r="519" spans="1:2">
      <c r="A519" s="17"/>
      <c r="B519" s="18"/>
    </row>
    <row r="520" spans="1:2">
      <c r="A520" s="17"/>
      <c r="B520" s="18"/>
    </row>
    <row r="521" spans="1:2">
      <c r="A521" s="17"/>
      <c r="B521" s="18"/>
    </row>
    <row r="522" spans="1:2">
      <c r="A522" s="17"/>
      <c r="B522" s="18"/>
    </row>
    <row r="523" spans="1:2">
      <c r="A523" s="17"/>
      <c r="B523" s="18"/>
    </row>
    <row r="524" spans="1:2">
      <c r="A524" s="17"/>
      <c r="B524" s="18"/>
    </row>
    <row r="525" spans="1:2">
      <c r="A525" s="17"/>
      <c r="B525" s="18"/>
    </row>
    <row r="526" spans="1:2">
      <c r="A526" s="17"/>
      <c r="B526" s="18"/>
    </row>
    <row r="527" spans="1:2">
      <c r="A527" s="17"/>
      <c r="B527" s="18"/>
    </row>
    <row r="528" spans="1:2">
      <c r="A528" s="17"/>
      <c r="B528" s="18"/>
    </row>
    <row r="529" spans="1:2">
      <c r="A529" s="17"/>
      <c r="B529" s="18"/>
    </row>
    <row r="530" spans="1:2">
      <c r="A530" s="17"/>
      <c r="B530" s="18"/>
    </row>
    <row r="531" spans="1:2">
      <c r="A531" s="17"/>
      <c r="B531" s="18"/>
    </row>
    <row r="532" spans="1:2">
      <c r="A532" s="17"/>
      <c r="B532" s="18"/>
    </row>
    <row r="533" spans="1:2">
      <c r="A533" s="17"/>
      <c r="B533" s="18"/>
    </row>
    <row r="534" spans="1:2">
      <c r="A534" s="17"/>
      <c r="B534" s="18"/>
    </row>
    <row r="535" spans="1:2">
      <c r="A535" s="17"/>
      <c r="B535" s="18"/>
    </row>
    <row r="536" spans="1:2">
      <c r="A536" s="17"/>
      <c r="B536" s="18"/>
    </row>
    <row r="537" spans="1:2">
      <c r="A537" s="17"/>
      <c r="B537" s="18"/>
    </row>
    <row r="538" spans="1:2">
      <c r="A538" s="17"/>
      <c r="B538" s="18"/>
    </row>
    <row r="539" spans="1:2">
      <c r="A539" s="17"/>
      <c r="B539" s="18"/>
    </row>
    <row r="540" spans="1:2">
      <c r="A540" s="17"/>
      <c r="B540" s="18"/>
    </row>
    <row r="541" spans="1:2">
      <c r="A541" s="17"/>
      <c r="B541" s="18"/>
    </row>
    <row r="542" spans="1:2">
      <c r="A542" s="17"/>
      <c r="B542" s="18"/>
    </row>
    <row r="543" spans="1:2">
      <c r="A543" s="17"/>
      <c r="B543" s="18"/>
    </row>
    <row r="544" spans="1:2">
      <c r="A544" s="17"/>
      <c r="B544" s="18"/>
    </row>
    <row r="545" spans="1:2">
      <c r="A545" s="17"/>
      <c r="B545" s="18"/>
    </row>
    <row r="546" spans="1:2">
      <c r="A546" s="17"/>
      <c r="B546" s="18"/>
    </row>
    <row r="547" spans="1:2">
      <c r="A547" s="17"/>
      <c r="B547" s="18"/>
    </row>
    <row r="548" spans="1:2">
      <c r="A548" s="17"/>
      <c r="B548" s="18"/>
    </row>
    <row r="549" spans="1:2">
      <c r="A549" s="17"/>
      <c r="B549" s="18"/>
    </row>
    <row r="550" spans="1:2">
      <c r="A550" s="17"/>
      <c r="B550" s="18"/>
    </row>
    <row r="551" spans="1:2">
      <c r="A551" s="17"/>
      <c r="B551" s="18"/>
    </row>
    <row r="552" spans="1:2">
      <c r="A552" s="17"/>
      <c r="B552" s="18"/>
    </row>
    <row r="553" spans="1:2">
      <c r="A553" s="17"/>
      <c r="B553" s="18"/>
    </row>
    <row r="554" spans="1:2">
      <c r="A554" s="17"/>
      <c r="B554" s="18"/>
    </row>
    <row r="555" spans="1:2">
      <c r="A555" s="17"/>
      <c r="B555" s="18"/>
    </row>
    <row r="556" spans="1:2">
      <c r="A556" s="17"/>
      <c r="B556" s="18"/>
    </row>
    <row r="557" spans="1:2">
      <c r="A557" s="17"/>
      <c r="B557" s="18"/>
    </row>
    <row r="558" spans="1:2">
      <c r="A558" s="17"/>
      <c r="B558" s="18"/>
    </row>
    <row r="559" spans="1:2">
      <c r="A559" s="17"/>
      <c r="B559" s="18"/>
    </row>
    <row r="560" spans="1:2">
      <c r="A560" s="17"/>
      <c r="B560" s="18"/>
    </row>
    <row r="561" spans="1:2">
      <c r="A561" s="17"/>
      <c r="B561" s="18"/>
    </row>
    <row r="562" spans="1:2">
      <c r="A562" s="17"/>
      <c r="B562" s="18"/>
    </row>
    <row r="563" spans="1:2">
      <c r="A563" s="17"/>
      <c r="B563" s="18"/>
    </row>
    <row r="564" spans="1:2">
      <c r="A564" s="17"/>
      <c r="B564" s="18"/>
    </row>
    <row r="565" spans="1:2">
      <c r="A565" s="17"/>
      <c r="B565" s="18"/>
    </row>
    <row r="566" spans="1:2">
      <c r="A566" s="17"/>
      <c r="B566" s="18"/>
    </row>
    <row r="567" spans="1:2">
      <c r="A567" s="17"/>
      <c r="B567" s="18"/>
    </row>
    <row r="568" spans="1:2">
      <c r="A568" s="17"/>
      <c r="B568" s="18"/>
    </row>
    <row r="569" spans="1:2">
      <c r="A569" s="17"/>
      <c r="B569" s="18"/>
    </row>
    <row r="570" spans="1:2">
      <c r="A570" s="17"/>
      <c r="B570" s="18"/>
    </row>
    <row r="571" spans="1:2">
      <c r="A571" s="17"/>
      <c r="B571" s="18"/>
    </row>
    <row r="572" spans="1:2">
      <c r="A572" s="17"/>
      <c r="B572" s="18"/>
    </row>
    <row r="573" spans="1:2">
      <c r="A573" s="17"/>
      <c r="B573" s="18"/>
    </row>
    <row r="574" spans="1:2">
      <c r="A574" s="17"/>
      <c r="B574" s="18"/>
    </row>
    <row r="575" spans="1:2">
      <c r="A575" s="17"/>
      <c r="B575" s="18"/>
    </row>
    <row r="576" spans="1:2">
      <c r="A576" s="17"/>
      <c r="B576" s="18"/>
    </row>
    <row r="577" spans="1:2">
      <c r="A577" s="17"/>
      <c r="B577" s="18"/>
    </row>
    <row r="578" spans="1:2">
      <c r="A578" s="17"/>
      <c r="B578" s="18"/>
    </row>
    <row r="579" spans="1:2">
      <c r="A579" s="17"/>
      <c r="B579" s="18"/>
    </row>
    <row r="580" spans="1:2">
      <c r="A580" s="17"/>
      <c r="B580" s="18"/>
    </row>
    <row r="581" spans="1:2">
      <c r="A581" s="17"/>
      <c r="B581" s="18"/>
    </row>
    <row r="582" spans="1:2">
      <c r="A582" s="17"/>
      <c r="B582" s="18"/>
    </row>
    <row r="583" spans="1:2">
      <c r="A583" s="17"/>
      <c r="B583" s="18"/>
    </row>
    <row r="584" spans="1:2">
      <c r="A584" s="17"/>
      <c r="B584" s="18"/>
    </row>
    <row r="585" spans="1:2">
      <c r="A585" s="17"/>
      <c r="B585" s="18"/>
    </row>
    <row r="586" spans="1:2">
      <c r="A586" s="17"/>
      <c r="B586" s="18"/>
    </row>
    <row r="587" spans="1:2">
      <c r="A587" s="17"/>
      <c r="B587" s="18"/>
    </row>
    <row r="588" spans="1:2">
      <c r="A588" s="17"/>
      <c r="B588" s="18"/>
    </row>
    <row r="589" spans="1:2">
      <c r="A589" s="17"/>
      <c r="B589" s="18"/>
    </row>
    <row r="590" spans="1:2">
      <c r="A590" s="17"/>
      <c r="B590" s="18"/>
    </row>
    <row r="591" spans="1:2">
      <c r="A591" s="17"/>
      <c r="B591" s="18"/>
    </row>
    <row r="592" spans="1:2">
      <c r="A592" s="17"/>
      <c r="B592" s="18"/>
    </row>
    <row r="593" spans="1:2">
      <c r="A593" s="17"/>
      <c r="B593" s="18"/>
    </row>
    <row r="594" spans="1:2">
      <c r="A594" s="17"/>
      <c r="B594" s="18"/>
    </row>
    <row r="595" spans="1:2">
      <c r="A595" s="17"/>
      <c r="B595" s="18"/>
    </row>
    <row r="596" spans="1:2">
      <c r="A596" s="17"/>
      <c r="B596" s="18"/>
    </row>
    <row r="597" spans="1:2">
      <c r="A597" s="17"/>
      <c r="B597" s="18"/>
    </row>
    <row r="598" spans="1:2">
      <c r="A598" s="17"/>
      <c r="B598" s="18"/>
    </row>
    <row r="599" spans="1:2">
      <c r="A599" s="17"/>
      <c r="B599" s="18"/>
    </row>
    <row r="600" spans="1:2">
      <c r="A600" s="17"/>
      <c r="B600" s="18"/>
    </row>
    <row r="601" spans="1:2">
      <c r="A601" s="17"/>
      <c r="B601" s="18"/>
    </row>
    <row r="602" spans="1:2">
      <c r="A602" s="17"/>
      <c r="B602" s="18"/>
    </row>
    <row r="603" spans="1:2">
      <c r="A603" s="17"/>
      <c r="B603" s="18"/>
    </row>
    <row r="604" spans="1:2">
      <c r="A604" s="17"/>
      <c r="B604" s="18"/>
    </row>
    <row r="605" spans="1:2">
      <c r="A605" s="17"/>
      <c r="B605" s="18"/>
    </row>
    <row r="606" spans="1:2">
      <c r="A606" s="17"/>
      <c r="B606" s="18"/>
    </row>
    <row r="607" spans="1:2">
      <c r="A607" s="17"/>
      <c r="B607" s="18"/>
    </row>
    <row r="608" spans="1:2">
      <c r="A608" s="17"/>
      <c r="B608" s="18"/>
    </row>
    <row r="609" spans="1:2">
      <c r="A609" s="17"/>
      <c r="B609" s="18"/>
    </row>
    <row r="610" spans="1:2">
      <c r="A610" s="17"/>
      <c r="B610" s="18"/>
    </row>
    <row r="611" spans="1:2">
      <c r="A611" s="17"/>
      <c r="B611" s="18"/>
    </row>
    <row r="612" spans="1:2">
      <c r="A612" s="17"/>
      <c r="B612" s="18"/>
    </row>
    <row r="613" spans="1:2">
      <c r="A613" s="17"/>
      <c r="B613" s="18"/>
    </row>
    <row r="614" spans="1:2">
      <c r="A614" s="17"/>
      <c r="B614" s="18"/>
    </row>
    <row r="615" spans="1:2">
      <c r="A615" s="17"/>
      <c r="B615" s="18"/>
    </row>
    <row r="616" spans="1:2">
      <c r="A616" s="17"/>
      <c r="B616" s="18"/>
    </row>
    <row r="617" spans="1:2">
      <c r="A617" s="17"/>
      <c r="B617" s="18"/>
    </row>
    <row r="618" spans="1:2">
      <c r="A618" s="17"/>
      <c r="B618" s="18"/>
    </row>
    <row r="619" spans="1:2">
      <c r="A619" s="17"/>
      <c r="B619" s="18"/>
    </row>
    <row r="620" spans="1:2">
      <c r="A620" s="17"/>
      <c r="B620" s="18"/>
    </row>
    <row r="621" spans="1:2">
      <c r="A621" s="17"/>
      <c r="B621" s="18"/>
    </row>
    <row r="622" spans="1:2">
      <c r="A622" s="17"/>
      <c r="B622" s="18"/>
    </row>
    <row r="623" spans="1:2">
      <c r="A623" s="17"/>
      <c r="B623" s="18"/>
    </row>
    <row r="624" spans="1:2">
      <c r="A624" s="17"/>
      <c r="B624" s="18"/>
    </row>
    <row r="625" spans="1:2">
      <c r="A625" s="17"/>
      <c r="B625" s="18"/>
    </row>
    <row r="626" spans="1:2">
      <c r="A626" s="17"/>
      <c r="B626" s="18"/>
    </row>
    <row r="627" spans="1:2">
      <c r="A627" s="17"/>
      <c r="B627" s="18"/>
    </row>
    <row r="628" spans="1:2">
      <c r="A628" s="17"/>
      <c r="B628" s="18"/>
    </row>
    <row r="629" spans="1:2">
      <c r="A629" s="17"/>
      <c r="B629" s="18"/>
    </row>
    <row r="630" spans="1:2">
      <c r="A630" s="17"/>
      <c r="B630" s="18"/>
    </row>
    <row r="631" spans="1:2">
      <c r="A631" s="17"/>
      <c r="B631" s="18"/>
    </row>
    <row r="632" spans="1:2">
      <c r="A632" s="17"/>
      <c r="B632" s="18"/>
    </row>
    <row r="633" spans="1:2">
      <c r="A633" s="17"/>
      <c r="B633" s="18"/>
    </row>
    <row r="634" spans="1:2">
      <c r="A634" s="17"/>
      <c r="B634" s="18"/>
    </row>
    <row r="635" spans="1:2">
      <c r="A635" s="17"/>
      <c r="B635" s="18"/>
    </row>
    <row r="636" spans="1:2">
      <c r="A636" s="17"/>
      <c r="B636" s="18"/>
    </row>
    <row r="637" spans="1:2">
      <c r="A637" s="17"/>
      <c r="B637" s="18"/>
    </row>
    <row r="638" spans="1:2">
      <c r="A638" s="17"/>
      <c r="B638" s="18"/>
    </row>
    <row r="639" spans="1:2">
      <c r="A639" s="17"/>
      <c r="B639" s="18"/>
    </row>
    <row r="640" spans="1:2">
      <c r="A640" s="17"/>
      <c r="B640" s="18"/>
    </row>
    <row r="641" spans="1:2">
      <c r="A641" s="17"/>
      <c r="B641" s="18"/>
    </row>
    <row r="642" spans="1:2">
      <c r="A642" s="17"/>
      <c r="B642" s="18"/>
    </row>
    <row r="643" spans="1:2">
      <c r="A643" s="17"/>
      <c r="B643" s="18"/>
    </row>
    <row r="644" spans="1:2">
      <c r="A644" s="17"/>
      <c r="B644" s="18"/>
    </row>
    <row r="645" spans="1:2">
      <c r="A645" s="17"/>
      <c r="B645" s="18"/>
    </row>
    <row r="646" spans="1:2">
      <c r="A646" s="17"/>
      <c r="B646" s="18"/>
    </row>
    <row r="647" spans="1:2">
      <c r="A647" s="17"/>
      <c r="B647" s="18"/>
    </row>
    <row r="648" spans="1:2">
      <c r="A648" s="17"/>
      <c r="B648" s="18"/>
    </row>
    <row r="649" spans="1:2">
      <c r="A649" s="17"/>
      <c r="B649" s="18"/>
    </row>
    <row r="650" spans="1:2">
      <c r="A650" s="17"/>
      <c r="B650" s="18"/>
    </row>
    <row r="651" spans="1:2">
      <c r="A651" s="17"/>
      <c r="B651" s="18"/>
    </row>
    <row r="652" spans="1:2">
      <c r="A652" s="17"/>
      <c r="B652" s="18"/>
    </row>
    <row r="653" spans="1:2">
      <c r="A653" s="17"/>
      <c r="B653" s="18"/>
    </row>
    <row r="654" spans="1:2">
      <c r="A654" s="17"/>
      <c r="B654" s="18"/>
    </row>
    <row r="655" spans="1:2">
      <c r="A655" s="17"/>
      <c r="B655" s="18"/>
    </row>
    <row r="656" spans="1:2">
      <c r="A656" s="17"/>
      <c r="B656" s="18"/>
    </row>
    <row r="657" spans="1:2">
      <c r="A657" s="17"/>
      <c r="B657" s="18"/>
    </row>
    <row r="658" spans="1:2">
      <c r="A658" s="17"/>
      <c r="B658" s="18"/>
    </row>
    <row r="659" spans="1:2">
      <c r="A659" s="17"/>
      <c r="B659" s="18"/>
    </row>
    <row r="660" spans="1:2">
      <c r="A660" s="17"/>
      <c r="B660" s="18"/>
    </row>
    <row r="661" spans="1:2">
      <c r="A661" s="17"/>
      <c r="B661" s="18"/>
    </row>
    <row r="662" spans="1:2">
      <c r="A662" s="17"/>
      <c r="B662" s="18"/>
    </row>
    <row r="663" spans="1:2">
      <c r="A663" s="17"/>
      <c r="B663" s="18"/>
    </row>
    <row r="664" spans="1:2">
      <c r="A664" s="17"/>
      <c r="B664" s="18"/>
    </row>
    <row r="665" spans="1:2">
      <c r="A665" s="17"/>
      <c r="B665" s="18"/>
    </row>
    <row r="666" spans="1:2">
      <c r="A666" s="17"/>
      <c r="B666" s="18"/>
    </row>
    <row r="667" spans="1:2">
      <c r="A667" s="17"/>
      <c r="B667" s="18"/>
    </row>
    <row r="668" spans="1:2">
      <c r="A668" s="17"/>
      <c r="B668" s="18"/>
    </row>
    <row r="669" spans="1:2">
      <c r="A669" s="17"/>
      <c r="B669" s="18"/>
    </row>
    <row r="670" spans="1:2">
      <c r="A670" s="17"/>
      <c r="B670" s="18"/>
    </row>
    <row r="671" spans="1:2">
      <c r="A671" s="17"/>
      <c r="B671" s="18"/>
    </row>
    <row r="672" spans="1:2">
      <c r="A672" s="17"/>
      <c r="B672" s="18"/>
    </row>
    <row r="673" spans="1:2">
      <c r="A673" s="17"/>
      <c r="B673" s="18"/>
    </row>
    <row r="674" spans="1:2">
      <c r="A674" s="17"/>
      <c r="B674" s="18"/>
    </row>
    <row r="675" spans="1:2">
      <c r="A675" s="17"/>
      <c r="B675" s="18"/>
    </row>
    <row r="676" spans="1:2">
      <c r="A676" s="17"/>
      <c r="B676" s="18"/>
    </row>
    <row r="677" spans="1:2">
      <c r="A677" s="17"/>
      <c r="B677" s="18"/>
    </row>
    <row r="678" spans="1:2">
      <c r="A678" s="17"/>
      <c r="B678" s="18"/>
    </row>
    <row r="679" spans="1:2">
      <c r="A679" s="17"/>
      <c r="B679" s="18"/>
    </row>
    <row r="680" spans="1:2">
      <c r="A680" s="17"/>
      <c r="B680" s="18"/>
    </row>
    <row r="681" spans="1:2">
      <c r="A681" s="17"/>
      <c r="B681" s="18"/>
    </row>
    <row r="682" spans="1:2">
      <c r="A682" s="17"/>
      <c r="B682" s="18"/>
    </row>
    <row r="683" spans="1:2">
      <c r="A683" s="17"/>
      <c r="B683" s="18"/>
    </row>
    <row r="684" spans="1:2">
      <c r="A684" s="17"/>
      <c r="B684" s="18"/>
    </row>
    <row r="685" spans="1:2">
      <c r="A685" s="17"/>
      <c r="B685" s="18"/>
    </row>
    <row r="686" spans="1:2">
      <c r="A686" s="17"/>
      <c r="B686" s="18"/>
    </row>
    <row r="687" spans="1:2">
      <c r="A687" s="17"/>
      <c r="B687" s="18"/>
    </row>
    <row r="688" spans="1:2">
      <c r="A688" s="17"/>
      <c r="B688" s="18"/>
    </row>
    <row r="689" spans="1:2">
      <c r="A689" s="17"/>
      <c r="B689" s="18"/>
    </row>
    <row r="690" spans="1:2">
      <c r="A690" s="17"/>
      <c r="B690" s="18"/>
    </row>
    <row r="691" spans="1:2">
      <c r="A691" s="17"/>
      <c r="B691" s="18"/>
    </row>
    <row r="692" spans="1:2">
      <c r="A692" s="17"/>
      <c r="B692" s="18"/>
    </row>
    <row r="693" spans="1:2">
      <c r="A693" s="17"/>
      <c r="B693" s="18"/>
    </row>
    <row r="694" spans="1:2">
      <c r="A694" s="17"/>
      <c r="B694" s="18"/>
    </row>
    <row r="695" spans="1:2">
      <c r="A695" s="17"/>
      <c r="B695" s="18"/>
    </row>
    <row r="696" spans="1:2">
      <c r="A696" s="17"/>
      <c r="B696" s="18"/>
    </row>
    <row r="697" spans="1:2">
      <c r="A697" s="17"/>
      <c r="B697" s="18"/>
    </row>
    <row r="698" spans="1:2">
      <c r="A698" s="17"/>
      <c r="B698" s="18"/>
    </row>
    <row r="699" spans="1:2">
      <c r="A699" s="17"/>
      <c r="B699" s="18"/>
    </row>
    <row r="700" spans="1:2">
      <c r="A700" s="17"/>
      <c r="B700" s="18"/>
    </row>
    <row r="701" spans="1:2">
      <c r="A701" s="17"/>
      <c r="B701" s="18"/>
    </row>
    <row r="702" spans="1:2">
      <c r="A702" s="17"/>
      <c r="B702" s="18"/>
    </row>
    <row r="703" spans="1:2">
      <c r="A703" s="17"/>
      <c r="B703" s="18"/>
    </row>
    <row r="704" spans="1:2">
      <c r="A704" s="17"/>
      <c r="B704" s="18"/>
    </row>
    <row r="705" spans="1:2">
      <c r="A705" s="17"/>
      <c r="B705" s="18"/>
    </row>
    <row r="706" spans="1:2">
      <c r="A706" s="17"/>
      <c r="B706" s="18"/>
    </row>
    <row r="707" spans="1:2">
      <c r="A707" s="17"/>
      <c r="B707" s="18"/>
    </row>
    <row r="708" spans="1:2">
      <c r="A708" s="17"/>
      <c r="B708" s="18"/>
    </row>
    <row r="709" spans="1:2">
      <c r="A709" s="17"/>
      <c r="B709" s="18"/>
    </row>
    <row r="710" spans="1:2">
      <c r="A710" s="17"/>
      <c r="B710" s="18"/>
    </row>
    <row r="711" spans="1:2">
      <c r="A711" s="17"/>
      <c r="B711" s="18"/>
    </row>
    <row r="712" spans="1:2">
      <c r="A712" s="17"/>
      <c r="B712" s="18"/>
    </row>
    <row r="713" spans="1:2">
      <c r="A713" s="17"/>
      <c r="B713" s="18"/>
    </row>
    <row r="714" spans="1:2">
      <c r="A714" s="17"/>
      <c r="B714" s="18"/>
    </row>
    <row r="715" spans="1:2">
      <c r="A715" s="17"/>
      <c r="B715" s="18"/>
    </row>
    <row r="716" spans="1:2">
      <c r="A716" s="17"/>
      <c r="B716" s="18"/>
    </row>
    <row r="717" spans="1:2">
      <c r="A717" s="17"/>
      <c r="B717" s="18"/>
    </row>
    <row r="718" spans="1:2">
      <c r="A718" s="17"/>
      <c r="B718" s="18"/>
    </row>
    <row r="719" spans="1:2">
      <c r="A719" s="17"/>
      <c r="B719" s="18"/>
    </row>
    <row r="720" spans="1:2">
      <c r="A720" s="17"/>
      <c r="B720" s="18"/>
    </row>
    <row r="721" spans="1:2">
      <c r="A721" s="17"/>
      <c r="B721" s="18"/>
    </row>
    <row r="722" spans="1:2">
      <c r="A722" s="17"/>
      <c r="B722" s="18"/>
    </row>
    <row r="723" spans="1:2">
      <c r="A723" s="17"/>
      <c r="B723" s="18"/>
    </row>
    <row r="724" spans="1:2">
      <c r="A724" s="17"/>
      <c r="B724" s="18"/>
    </row>
    <row r="725" spans="1:2">
      <c r="A725" s="17"/>
      <c r="B725" s="18"/>
    </row>
    <row r="726" spans="1:2">
      <c r="A726" s="17"/>
      <c r="B726" s="18"/>
    </row>
    <row r="727" spans="1:2">
      <c r="A727" s="17"/>
      <c r="B727" s="18"/>
    </row>
    <row r="728" spans="1:2">
      <c r="A728" s="17"/>
      <c r="B728" s="18"/>
    </row>
    <row r="729" spans="1:2">
      <c r="A729" s="17"/>
      <c r="B729" s="18"/>
    </row>
    <row r="730" spans="1:2">
      <c r="A730" s="17"/>
      <c r="B730" s="18"/>
    </row>
    <row r="731" spans="1:2">
      <c r="A731" s="17"/>
      <c r="B731" s="18"/>
    </row>
    <row r="732" spans="1:2">
      <c r="A732" s="17"/>
      <c r="B732" s="18"/>
    </row>
    <row r="733" spans="1:2">
      <c r="A733" s="17"/>
      <c r="B733" s="18"/>
    </row>
    <row r="734" spans="1:2">
      <c r="A734" s="17"/>
      <c r="B734" s="18"/>
    </row>
    <row r="735" spans="1:2">
      <c r="A735" s="17"/>
      <c r="B735" s="18"/>
    </row>
    <row r="736" spans="1:2">
      <c r="A736" s="17"/>
      <c r="B736" s="18"/>
    </row>
    <row r="737" spans="1:2">
      <c r="A737" s="17"/>
      <c r="B737" s="18"/>
    </row>
    <row r="738" spans="1:2">
      <c r="A738" s="17"/>
      <c r="B738" s="18"/>
    </row>
    <row r="739" spans="1:2">
      <c r="A739" s="17"/>
      <c r="B739" s="18"/>
    </row>
    <row r="740" spans="1:2">
      <c r="A740" s="17"/>
      <c r="B740" s="18"/>
    </row>
    <row r="741" spans="1:2">
      <c r="A741" s="17"/>
      <c r="B741" s="18"/>
    </row>
    <row r="742" spans="1:2">
      <c r="A742" s="17"/>
      <c r="B742" s="18"/>
    </row>
    <row r="743" spans="1:2">
      <c r="A743" s="17"/>
      <c r="B743" s="18"/>
    </row>
    <row r="744" spans="1:2">
      <c r="A744" s="17"/>
      <c r="B744" s="18"/>
    </row>
    <row r="745" spans="1:2">
      <c r="A745" s="17"/>
      <c r="B745" s="18"/>
    </row>
    <row r="746" spans="1:2">
      <c r="A746" s="17"/>
      <c r="B746" s="18"/>
    </row>
    <row r="747" spans="1:2">
      <c r="A747" s="17"/>
      <c r="B747" s="18"/>
    </row>
    <row r="748" spans="1:2">
      <c r="A748" s="17"/>
      <c r="B748" s="18"/>
    </row>
    <row r="749" spans="1:2">
      <c r="A749" s="17"/>
      <c r="B749" s="18"/>
    </row>
    <row r="750" spans="1:2">
      <c r="A750" s="17"/>
      <c r="B750" s="18"/>
    </row>
    <row r="751" spans="1:2">
      <c r="A751" s="17"/>
      <c r="B751" s="18"/>
    </row>
    <row r="752" spans="1:2">
      <c r="A752" s="17"/>
      <c r="B752" s="18"/>
    </row>
    <row r="753" spans="1:2">
      <c r="A753" s="17"/>
      <c r="B753" s="18"/>
    </row>
    <row r="754" spans="1:2">
      <c r="A754" s="17"/>
      <c r="B754" s="18"/>
    </row>
    <row r="755" spans="1:2">
      <c r="A755" s="17"/>
      <c r="B755" s="18"/>
    </row>
    <row r="756" spans="1:2">
      <c r="A756" s="17"/>
      <c r="B756" s="18"/>
    </row>
    <row r="757" spans="1:2">
      <c r="A757" s="17"/>
      <c r="B757" s="18"/>
    </row>
    <row r="758" spans="1:2">
      <c r="A758" s="17"/>
      <c r="B758" s="18"/>
    </row>
    <row r="759" spans="1:2">
      <c r="A759" s="17"/>
      <c r="B759" s="18"/>
    </row>
    <row r="760" spans="1:2">
      <c r="A760" s="17"/>
      <c r="B760" s="18"/>
    </row>
    <row r="761" spans="1:2">
      <c r="A761" s="17"/>
      <c r="B761" s="18"/>
    </row>
    <row r="762" spans="1:2">
      <c r="A762" s="17"/>
      <c r="B762" s="18"/>
    </row>
    <row r="763" spans="1:2">
      <c r="A763" s="17"/>
      <c r="B763" s="18"/>
    </row>
    <row r="764" spans="1:2">
      <c r="A764" s="17"/>
      <c r="B764" s="18"/>
    </row>
    <row r="765" spans="1:2">
      <c r="A765" s="17"/>
      <c r="B765" s="18"/>
    </row>
    <row r="766" spans="1:2">
      <c r="A766" s="17"/>
      <c r="B766" s="18"/>
    </row>
    <row r="767" spans="1:2">
      <c r="A767" s="17"/>
      <c r="B767" s="18"/>
    </row>
  </sheetData>
  <sheetProtection formatCells="0" formatColumns="0" formatRows="0" insertColumns="0" insertRows="0" insertHyperlinks="0" deleteColumns="0" deleteRows="0" sort="0" autoFilter="0" pivotTables="0"/>
  <protectedRanges>
    <protectedRange sqref="K2" name="Диапазон1"/>
  </protectedRanges>
  <phoneticPr fontId="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/>
  <dimension ref="A1:AP767"/>
  <sheetViews>
    <sheetView workbookViewId="0">
      <selection activeCell="K2" sqref="K2"/>
    </sheetView>
  </sheetViews>
  <sheetFormatPr defaultRowHeight="14.4"/>
  <cols>
    <col min="1" max="1" width="10.109375" bestFit="1" customWidth="1"/>
  </cols>
  <sheetData>
    <row r="1" spans="1:42" ht="15" thickBot="1">
      <c r="A1" s="33" t="s">
        <v>69</v>
      </c>
      <c r="B1" s="35" t="s">
        <v>70</v>
      </c>
      <c r="C1" s="31"/>
      <c r="D1" s="31"/>
      <c r="E1" s="31"/>
      <c r="F1" s="31"/>
      <c r="G1" s="31"/>
      <c r="H1" s="31"/>
      <c r="I1" s="31"/>
      <c r="J1" s="31"/>
      <c r="K1" s="30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</row>
    <row r="2" spans="1:42" ht="15" thickBot="1">
      <c r="A2" s="33" t="s">
        <v>71</v>
      </c>
      <c r="B2" s="35">
        <v>1545.51</v>
      </c>
      <c r="C2" s="31"/>
      <c r="D2" s="31"/>
      <c r="E2" s="31"/>
      <c r="F2" s="31"/>
      <c r="G2" s="31"/>
      <c r="H2" s="31"/>
      <c r="I2" s="32"/>
      <c r="J2" s="31"/>
      <c r="K2" s="20">
        <v>55515.9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>
        <f>SUMIF(A2:A207,"20.02.01",B2:B207)</f>
        <v>55515.9</v>
      </c>
    </row>
    <row r="3" spans="1:42">
      <c r="A3" s="33" t="s">
        <v>72</v>
      </c>
      <c r="B3" s="35">
        <v>591.5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</row>
    <row r="4" spans="1:42">
      <c r="A4" s="33" t="s">
        <v>72</v>
      </c>
      <c r="B4" s="35">
        <v>199.19</v>
      </c>
      <c r="C4" s="19"/>
      <c r="D4" s="19"/>
      <c r="E4" s="21" t="s">
        <v>88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</row>
    <row r="5" spans="1:42">
      <c r="A5" s="33" t="s">
        <v>72</v>
      </c>
      <c r="B5" s="35">
        <v>235.62</v>
      </c>
      <c r="C5" s="19"/>
      <c r="D5" s="19"/>
      <c r="E5" s="21" t="s">
        <v>89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</row>
    <row r="6" spans="1:42">
      <c r="A6" s="33" t="s">
        <v>72</v>
      </c>
      <c r="B6" s="35">
        <v>227.14</v>
      </c>
      <c r="C6" s="19"/>
      <c r="D6" s="19"/>
      <c r="E6" s="21" t="s">
        <v>90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</row>
    <row r="7" spans="1:42">
      <c r="A7" s="33" t="s">
        <v>72</v>
      </c>
      <c r="B7" s="35">
        <v>585.78</v>
      </c>
      <c r="C7" s="19"/>
      <c r="D7" s="19"/>
      <c r="E7" s="21" t="s">
        <v>91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</row>
    <row r="8" spans="1:42">
      <c r="A8" s="33" t="s">
        <v>72</v>
      </c>
      <c r="B8" s="35">
        <v>632.89</v>
      </c>
      <c r="C8" s="19"/>
      <c r="D8" s="19"/>
      <c r="E8" s="21" t="s">
        <v>92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</row>
    <row r="9" spans="1:42">
      <c r="A9" s="33" t="s">
        <v>71</v>
      </c>
      <c r="B9" s="35">
        <v>-126.23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</row>
    <row r="10" spans="1:42" ht="15.6">
      <c r="A10" s="33" t="s">
        <v>72</v>
      </c>
      <c r="B10" s="35">
        <v>368.66</v>
      </c>
      <c r="C10" s="19"/>
      <c r="D10" s="19"/>
      <c r="E10" s="41" t="s">
        <v>245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</row>
    <row r="11" spans="1:42">
      <c r="A11" s="33" t="s">
        <v>72</v>
      </c>
      <c r="B11" s="35">
        <v>564.02</v>
      </c>
      <c r="C11" s="19"/>
      <c r="D11" s="19"/>
      <c r="E11" s="21" t="s">
        <v>94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</row>
    <row r="12" spans="1:42">
      <c r="A12" s="33" t="s">
        <v>71</v>
      </c>
      <c r="B12" s="35">
        <v>279.10000000000002</v>
      </c>
      <c r="C12" s="19"/>
      <c r="D12" s="19"/>
      <c r="E12" s="21" t="s">
        <v>95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</row>
    <row r="13" spans="1:42">
      <c r="A13" s="33" t="s">
        <v>72</v>
      </c>
      <c r="B13" s="35">
        <v>570.72</v>
      </c>
      <c r="C13" s="19"/>
      <c r="D13" s="19"/>
      <c r="E13" s="21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</row>
    <row r="14" spans="1:42">
      <c r="A14" s="33" t="s">
        <v>72</v>
      </c>
      <c r="B14" s="35">
        <v>679.32</v>
      </c>
      <c r="C14" s="19"/>
      <c r="D14" s="19"/>
      <c r="E14" s="27" t="s">
        <v>96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</row>
    <row r="15" spans="1:42">
      <c r="A15" s="33" t="s">
        <v>71</v>
      </c>
      <c r="B15" s="35">
        <v>1462.53</v>
      </c>
      <c r="C15" s="19"/>
      <c r="D15" s="19"/>
      <c r="E15" s="21" t="s">
        <v>97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</row>
    <row r="16" spans="1:42">
      <c r="A16" s="33" t="s">
        <v>71</v>
      </c>
      <c r="B16" s="35">
        <v>-213.84</v>
      </c>
      <c r="C16" s="19"/>
      <c r="D16" s="19"/>
      <c r="E16" s="21" t="s">
        <v>98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</row>
    <row r="17" spans="1:41">
      <c r="A17" s="33" t="s">
        <v>72</v>
      </c>
      <c r="B17" s="35">
        <v>539.35</v>
      </c>
      <c r="C17" s="19"/>
      <c r="D17" s="19"/>
      <c r="E17" s="21" t="s">
        <v>99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</row>
    <row r="18" spans="1:41">
      <c r="A18" s="33" t="s">
        <v>71</v>
      </c>
      <c r="B18" s="35">
        <v>1315.75</v>
      </c>
      <c r="C18" s="19"/>
      <c r="D18" s="19"/>
      <c r="E18" s="21" t="s">
        <v>100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</row>
    <row r="19" spans="1:41">
      <c r="A19" s="33" t="s">
        <v>71</v>
      </c>
      <c r="B19" s="35">
        <v>698.5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>
      <c r="A20" s="33" t="s">
        <v>72</v>
      </c>
      <c r="B20" s="35">
        <v>667.18</v>
      </c>
      <c r="C20" s="19"/>
      <c r="D20" s="19"/>
      <c r="E20" s="19"/>
      <c r="F20" s="19"/>
      <c r="G20" s="19"/>
      <c r="H20" s="19"/>
      <c r="I20" s="19"/>
      <c r="J20" s="21"/>
      <c r="K20" s="22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spans="1:41">
      <c r="A21" s="33" t="s">
        <v>71</v>
      </c>
      <c r="B21" s="35">
        <v>187.39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</row>
    <row r="22" spans="1:41">
      <c r="A22" s="33" t="s">
        <v>71</v>
      </c>
      <c r="B22" s="35">
        <v>286.62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</row>
    <row r="23" spans="1:41">
      <c r="A23" s="33" t="s">
        <v>71</v>
      </c>
      <c r="B23" s="35">
        <v>624.45000000000005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</row>
    <row r="24" spans="1:41">
      <c r="A24" s="33" t="s">
        <v>72</v>
      </c>
      <c r="B24" s="35">
        <v>1116.8699999999999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</row>
    <row r="25" spans="1:41">
      <c r="A25" s="33" t="s">
        <v>71</v>
      </c>
      <c r="B25" s="35">
        <v>792.35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</row>
    <row r="26" spans="1:41">
      <c r="A26" s="33" t="s">
        <v>71</v>
      </c>
      <c r="B26" s="35">
        <v>1243.07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</row>
    <row r="27" spans="1:41">
      <c r="A27" s="33" t="s">
        <v>71</v>
      </c>
      <c r="B27" s="35">
        <v>226.16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</row>
    <row r="28" spans="1:41">
      <c r="A28" s="33" t="s">
        <v>72</v>
      </c>
      <c r="B28" s="35">
        <v>515.16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</row>
    <row r="29" spans="1:41">
      <c r="A29" s="33" t="s">
        <v>72</v>
      </c>
      <c r="B29" s="35">
        <v>715.19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</row>
    <row r="30" spans="1:41">
      <c r="A30" s="33" t="s">
        <v>72</v>
      </c>
      <c r="B30" s="35">
        <v>833.47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</row>
    <row r="31" spans="1:41">
      <c r="A31" s="33" t="s">
        <v>71</v>
      </c>
      <c r="B31" s="35">
        <v>191.04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</row>
    <row r="32" spans="1:41">
      <c r="A32" s="33" t="s">
        <v>72</v>
      </c>
      <c r="B32" s="35">
        <v>1015.18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</row>
    <row r="33" spans="1:41">
      <c r="A33" s="33" t="s">
        <v>72</v>
      </c>
      <c r="B33" s="35">
        <v>1259.8699999999999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</row>
    <row r="34" spans="1:41">
      <c r="A34" s="33" t="s">
        <v>72</v>
      </c>
      <c r="B34" s="35">
        <v>579.17999999999995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</row>
    <row r="35" spans="1:41">
      <c r="A35" s="33" t="s">
        <v>72</v>
      </c>
      <c r="B35" s="35">
        <v>1133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</row>
    <row r="36" spans="1:41">
      <c r="A36" s="33" t="s">
        <v>72</v>
      </c>
      <c r="B36" s="35">
        <v>300.64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</row>
    <row r="37" spans="1:41">
      <c r="A37" s="33" t="s">
        <v>71</v>
      </c>
      <c r="B37" s="35">
        <v>719.08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</row>
    <row r="38" spans="1:41">
      <c r="A38" s="33" t="s">
        <v>71</v>
      </c>
      <c r="B38" s="35">
        <v>725.95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</row>
    <row r="39" spans="1:41">
      <c r="A39" s="33" t="s">
        <v>72</v>
      </c>
      <c r="B39" s="35">
        <v>299.33999999999997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</row>
    <row r="40" spans="1:41">
      <c r="A40" s="33" t="s">
        <v>71</v>
      </c>
      <c r="B40" s="35">
        <v>566.07000000000005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</row>
    <row r="41" spans="1:41">
      <c r="A41" s="33" t="s">
        <v>72</v>
      </c>
      <c r="B41" s="35">
        <v>562.70000000000005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</row>
    <row r="42" spans="1:41">
      <c r="A42" s="33" t="s">
        <v>72</v>
      </c>
      <c r="B42" s="35">
        <v>218.43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</row>
    <row r="43" spans="1:41">
      <c r="A43" s="33" t="s">
        <v>71</v>
      </c>
      <c r="B43" s="35">
        <v>908.22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</row>
    <row r="44" spans="1:41">
      <c r="A44" s="33" t="s">
        <v>72</v>
      </c>
      <c r="B44" s="35">
        <v>259.82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</row>
    <row r="45" spans="1:41">
      <c r="A45" s="33" t="s">
        <v>71</v>
      </c>
      <c r="B45" s="35">
        <v>869.65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</row>
    <row r="46" spans="1:41">
      <c r="A46" s="33" t="s">
        <v>71</v>
      </c>
      <c r="B46" s="35">
        <v>533.47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</row>
    <row r="47" spans="1:41">
      <c r="A47" s="33" t="s">
        <v>72</v>
      </c>
      <c r="B47" s="35">
        <v>506.2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</row>
    <row r="48" spans="1:41">
      <c r="A48" s="33" t="s">
        <v>71</v>
      </c>
      <c r="B48" s="35">
        <v>527.77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</row>
    <row r="49" spans="1:41">
      <c r="A49" s="33" t="s">
        <v>72</v>
      </c>
      <c r="B49" s="35">
        <v>818.15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</row>
    <row r="50" spans="1:41">
      <c r="A50" s="33" t="s">
        <v>72</v>
      </c>
      <c r="B50" s="35">
        <v>1249.98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</row>
    <row r="51" spans="1:41">
      <c r="A51" s="33" t="s">
        <v>71</v>
      </c>
      <c r="B51" s="35">
        <v>701.74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</row>
    <row r="52" spans="1:41">
      <c r="A52" s="33" t="s">
        <v>72</v>
      </c>
      <c r="B52" s="35">
        <v>98.24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</row>
    <row r="53" spans="1:41">
      <c r="A53" s="33" t="s">
        <v>71</v>
      </c>
      <c r="B53" s="34">
        <v>1545.51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</row>
    <row r="54" spans="1:41">
      <c r="A54" s="33" t="s">
        <v>72</v>
      </c>
      <c r="B54" s="35">
        <v>69.23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</row>
    <row r="55" spans="1:41">
      <c r="A55" s="33" t="s">
        <v>72</v>
      </c>
      <c r="B55" s="35">
        <v>199.19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</row>
    <row r="56" spans="1:41">
      <c r="A56" s="33" t="s">
        <v>72</v>
      </c>
      <c r="B56" s="35">
        <v>235.62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</row>
    <row r="57" spans="1:41">
      <c r="A57" s="33">
        <v>36970</v>
      </c>
      <c r="B57" s="35">
        <v>227.14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</row>
    <row r="58" spans="1:41">
      <c r="A58" s="33" t="s">
        <v>72</v>
      </c>
      <c r="B58" s="35">
        <v>585.78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</row>
    <row r="59" spans="1:41">
      <c r="A59" s="33" t="s">
        <v>72</v>
      </c>
      <c r="B59" s="35">
        <v>632.89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</row>
    <row r="60" spans="1:41">
      <c r="A60" s="33" t="s">
        <v>71</v>
      </c>
      <c r="B60" s="35">
        <v>-126.23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</row>
    <row r="61" spans="1:41">
      <c r="A61" s="33" t="s">
        <v>72</v>
      </c>
      <c r="B61" s="35">
        <v>368.66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</row>
    <row r="62" spans="1:41">
      <c r="A62" s="33" t="s">
        <v>72</v>
      </c>
      <c r="B62" s="35">
        <v>564.02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</row>
    <row r="63" spans="1:41">
      <c r="A63" s="33" t="s">
        <v>71</v>
      </c>
      <c r="B63" s="35">
        <v>279.10000000000002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</row>
    <row r="64" spans="1:41">
      <c r="A64" s="33" t="s">
        <v>72</v>
      </c>
      <c r="B64" s="35">
        <v>570.72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</row>
    <row r="65" spans="1:41">
      <c r="A65" s="33" t="s">
        <v>72</v>
      </c>
      <c r="B65" s="35">
        <v>679.32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</row>
    <row r="66" spans="1:41">
      <c r="A66" s="33" t="s">
        <v>71</v>
      </c>
      <c r="B66" s="35">
        <v>1462.53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</row>
    <row r="67" spans="1:41">
      <c r="A67" s="33" t="s">
        <v>71</v>
      </c>
      <c r="B67" s="35">
        <v>-213.84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</row>
    <row r="68" spans="1:41">
      <c r="A68" s="33" t="s">
        <v>72</v>
      </c>
      <c r="B68" s="35">
        <v>539.35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</row>
    <row r="69" spans="1:41">
      <c r="A69" s="33" t="s">
        <v>71</v>
      </c>
      <c r="B69" s="35">
        <v>1315.75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</row>
    <row r="70" spans="1:41">
      <c r="A70" s="33" t="s">
        <v>71</v>
      </c>
      <c r="B70" s="35">
        <v>698.5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</row>
    <row r="71" spans="1:41">
      <c r="A71" s="33" t="s">
        <v>72</v>
      </c>
      <c r="B71" s="35">
        <v>667.18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</row>
    <row r="72" spans="1:41">
      <c r="A72" s="33" t="s">
        <v>71</v>
      </c>
      <c r="B72" s="35">
        <v>187.39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</row>
    <row r="73" spans="1:41">
      <c r="A73" s="33" t="s">
        <v>71</v>
      </c>
      <c r="B73" s="35">
        <v>286.62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</row>
    <row r="74" spans="1:41">
      <c r="A74" s="33" t="s">
        <v>71</v>
      </c>
      <c r="B74" s="35">
        <v>624.45000000000005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</row>
    <row r="75" spans="1:41">
      <c r="A75" s="33" t="s">
        <v>72</v>
      </c>
      <c r="B75" s="35">
        <v>1116.8699999999999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</row>
    <row r="76" spans="1:41">
      <c r="A76" s="33" t="s">
        <v>71</v>
      </c>
      <c r="B76" s="35">
        <v>792.35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</row>
    <row r="77" spans="1:41">
      <c r="A77" s="33" t="s">
        <v>71</v>
      </c>
      <c r="B77" s="35">
        <v>1243.07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</row>
    <row r="78" spans="1:41">
      <c r="A78" s="33" t="s">
        <v>71</v>
      </c>
      <c r="B78" s="35">
        <v>226.16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</row>
    <row r="79" spans="1:41">
      <c r="A79" s="33" t="s">
        <v>72</v>
      </c>
      <c r="B79" s="35">
        <v>515.16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</row>
    <row r="80" spans="1:41">
      <c r="A80" s="33" t="s">
        <v>72</v>
      </c>
      <c r="B80" s="35">
        <v>715.19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</row>
    <row r="81" spans="1:19">
      <c r="A81" s="33" t="s">
        <v>72</v>
      </c>
      <c r="B81" s="35">
        <v>833.47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</row>
    <row r="82" spans="1:19">
      <c r="A82" s="33" t="s">
        <v>71</v>
      </c>
      <c r="B82" s="35">
        <v>191.04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</row>
    <row r="83" spans="1:19">
      <c r="A83" s="33" t="s">
        <v>72</v>
      </c>
      <c r="B83" s="35">
        <v>1015.18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</row>
    <row r="84" spans="1:19">
      <c r="A84" s="33" t="s">
        <v>72</v>
      </c>
      <c r="B84" s="35">
        <v>1259.8699999999999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</row>
    <row r="85" spans="1:19">
      <c r="A85" s="33" t="s">
        <v>72</v>
      </c>
      <c r="B85" s="35">
        <v>579.17999999999995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  <row r="86" spans="1:19">
      <c r="A86" s="33" t="s">
        <v>72</v>
      </c>
      <c r="B86" s="35">
        <v>1133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</row>
    <row r="87" spans="1:19">
      <c r="A87" s="33" t="s">
        <v>72</v>
      </c>
      <c r="B87" s="35">
        <v>300.64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</row>
    <row r="88" spans="1:19">
      <c r="A88" s="33" t="s">
        <v>71</v>
      </c>
      <c r="B88" s="35">
        <v>719.08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</row>
    <row r="89" spans="1:19">
      <c r="A89" s="33" t="s">
        <v>71</v>
      </c>
      <c r="B89" s="35">
        <v>725.95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</row>
    <row r="90" spans="1:19">
      <c r="A90" s="33" t="s">
        <v>72</v>
      </c>
      <c r="B90" s="35">
        <v>299.33999999999997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</row>
    <row r="91" spans="1:19">
      <c r="A91" s="33" t="s">
        <v>71</v>
      </c>
      <c r="B91" s="35">
        <v>566.07000000000005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</row>
    <row r="92" spans="1:19">
      <c r="A92" s="33" t="s">
        <v>72</v>
      </c>
      <c r="B92" s="35">
        <v>562.70000000000005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</row>
    <row r="93" spans="1:19">
      <c r="A93" s="33" t="s">
        <v>72</v>
      </c>
      <c r="B93" s="35">
        <v>218.43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</row>
    <row r="94" spans="1:19">
      <c r="A94" s="33" t="s">
        <v>71</v>
      </c>
      <c r="B94" s="35">
        <v>908.22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 spans="1:19">
      <c r="A95" s="33" t="s">
        <v>72</v>
      </c>
      <c r="B95" s="35">
        <v>259.82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</row>
    <row r="96" spans="1:19">
      <c r="A96" s="33">
        <v>36947</v>
      </c>
      <c r="B96" s="35">
        <v>869.65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</row>
    <row r="97" spans="1:19">
      <c r="A97" s="33" t="s">
        <v>71</v>
      </c>
      <c r="B97" s="35">
        <v>533.47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</row>
    <row r="98" spans="1:19">
      <c r="A98" s="33" t="s">
        <v>72</v>
      </c>
      <c r="B98" s="35">
        <v>506.2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</row>
    <row r="99" spans="1:19">
      <c r="A99" s="33" t="s">
        <v>71</v>
      </c>
      <c r="B99" s="35">
        <v>527.77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</row>
    <row r="100" spans="1:19">
      <c r="A100" s="33" t="s">
        <v>72</v>
      </c>
      <c r="B100" s="35">
        <v>818.15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</row>
    <row r="101" spans="1:19">
      <c r="A101" s="33" t="s">
        <v>72</v>
      </c>
      <c r="B101" s="35">
        <v>1249.98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</row>
    <row r="102" spans="1:19">
      <c r="A102" s="33" t="s">
        <v>71</v>
      </c>
      <c r="B102" s="35">
        <v>701.74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</row>
    <row r="103" spans="1:19">
      <c r="A103" s="33" t="s">
        <v>72</v>
      </c>
      <c r="B103" s="35">
        <v>30786.630000000012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 spans="1:19">
      <c r="A104" s="33" t="s">
        <v>71</v>
      </c>
      <c r="B104" s="35">
        <v>632.89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</row>
    <row r="105" spans="1:19">
      <c r="A105" s="33" t="s">
        <v>71</v>
      </c>
      <c r="B105" s="35">
        <v>-126.23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</row>
    <row r="106" spans="1:19">
      <c r="A106" s="33" t="s">
        <v>72</v>
      </c>
      <c r="B106" s="35">
        <v>368.66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</row>
    <row r="107" spans="1:19">
      <c r="A107" s="33" t="s">
        <v>71</v>
      </c>
      <c r="B107" s="35">
        <v>564.02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</row>
    <row r="108" spans="1:19">
      <c r="A108" s="33" t="s">
        <v>72</v>
      </c>
      <c r="B108" s="35">
        <v>279.10000000000002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</row>
    <row r="109" spans="1:19">
      <c r="A109" s="33" t="s">
        <v>72</v>
      </c>
      <c r="B109" s="35">
        <v>570.72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</row>
    <row r="110" spans="1:19">
      <c r="A110" s="33" t="s">
        <v>71</v>
      </c>
      <c r="B110" s="35">
        <v>679.32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  <row r="111" spans="1:19">
      <c r="A111" s="33" t="s">
        <v>72</v>
      </c>
      <c r="B111" s="35">
        <v>1462.53</v>
      </c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</row>
    <row r="112" spans="1:19">
      <c r="A112" s="33">
        <v>36947</v>
      </c>
      <c r="B112" s="35">
        <v>-213.84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</row>
    <row r="113" spans="1:19">
      <c r="A113" s="33" t="s">
        <v>71</v>
      </c>
      <c r="B113" s="35">
        <v>539.35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</row>
    <row r="114" spans="1:19">
      <c r="A114" s="33" t="s">
        <v>72</v>
      </c>
      <c r="B114" s="35">
        <v>1315.75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</row>
    <row r="115" spans="1:19">
      <c r="A115" s="33" t="s">
        <v>71</v>
      </c>
      <c r="B115" s="35">
        <v>698.5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</row>
    <row r="116" spans="1:19">
      <c r="A116" s="33" t="s">
        <v>72</v>
      </c>
      <c r="B116" s="35">
        <v>667.18</v>
      </c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</row>
    <row r="117" spans="1:19">
      <c r="A117" s="33" t="s">
        <v>72</v>
      </c>
      <c r="B117" s="35">
        <v>187.39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</row>
    <row r="118" spans="1:19">
      <c r="A118" s="33" t="s">
        <v>71</v>
      </c>
      <c r="B118" s="35">
        <v>286.62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</row>
    <row r="119" spans="1:19">
      <c r="A119" s="33" t="s">
        <v>72</v>
      </c>
      <c r="B119" s="35">
        <v>624.45000000000005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</row>
    <row r="120" spans="1:19">
      <c r="A120" s="33" t="s">
        <v>72</v>
      </c>
      <c r="B120" s="35">
        <v>1116.8699999999999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</row>
    <row r="121" spans="1:19">
      <c r="A121" s="33" t="s">
        <v>72</v>
      </c>
      <c r="B121" s="35">
        <v>792.35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</row>
    <row r="122" spans="1:19">
      <c r="A122" s="33" t="s">
        <v>71</v>
      </c>
      <c r="B122" s="35">
        <v>1243.07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</row>
    <row r="123" spans="1:19">
      <c r="A123" s="33" t="s">
        <v>72</v>
      </c>
      <c r="B123" s="35">
        <v>226.16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</row>
    <row r="124" spans="1:19">
      <c r="A124" s="33">
        <v>36947</v>
      </c>
      <c r="B124" s="35">
        <v>515.16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</row>
    <row r="125" spans="1:19">
      <c r="A125" s="33" t="s">
        <v>71</v>
      </c>
      <c r="B125" s="35">
        <v>715.19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</row>
    <row r="126" spans="1:19">
      <c r="A126" s="33" t="s">
        <v>72</v>
      </c>
      <c r="B126" s="35">
        <v>915.22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</row>
    <row r="127" spans="1:19">
      <c r="A127" s="33" t="s">
        <v>71</v>
      </c>
      <c r="B127" s="35">
        <v>1115.25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</row>
    <row r="128" spans="1:19">
      <c r="A128" s="33" t="s">
        <v>72</v>
      </c>
      <c r="B128" s="35">
        <v>1315.28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</row>
    <row r="129" spans="1:19">
      <c r="A129" s="33" t="s">
        <v>71</v>
      </c>
      <c r="B129" s="35">
        <v>585.78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</row>
    <row r="130" spans="1:19">
      <c r="A130" s="33" t="s">
        <v>72</v>
      </c>
      <c r="B130" s="35">
        <v>632.89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</row>
    <row r="131" spans="1:19">
      <c r="A131" s="33" t="s">
        <v>72</v>
      </c>
      <c r="B131" s="35">
        <v>-126.23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</row>
    <row r="132" spans="1:19">
      <c r="A132" s="33" t="s">
        <v>72</v>
      </c>
      <c r="B132" s="35">
        <v>368.66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</row>
    <row r="133" spans="1:19">
      <c r="A133" s="33" t="s">
        <v>72</v>
      </c>
      <c r="B133" s="35">
        <v>564.02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</row>
    <row r="134" spans="1:19">
      <c r="A134" s="33" t="s">
        <v>72</v>
      </c>
      <c r="B134" s="35">
        <v>279.10000000000002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</row>
    <row r="135" spans="1:19">
      <c r="A135" s="33" t="s">
        <v>72</v>
      </c>
      <c r="B135" s="35">
        <v>570.72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</row>
    <row r="136" spans="1:19">
      <c r="A136" s="33" t="s">
        <v>71</v>
      </c>
      <c r="B136" s="35">
        <v>679.32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</row>
    <row r="137" spans="1:19">
      <c r="A137" s="33" t="s">
        <v>72</v>
      </c>
      <c r="B137" s="35">
        <v>1462.53</v>
      </c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</row>
    <row r="138" spans="1:19">
      <c r="A138" s="33" t="s">
        <v>72</v>
      </c>
      <c r="B138" s="35">
        <v>-213.84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</row>
    <row r="139" spans="1:19">
      <c r="A139" s="33" t="s">
        <v>71</v>
      </c>
      <c r="B139" s="35">
        <v>539.35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</row>
    <row r="140" spans="1:19">
      <c r="A140" s="33" t="s">
        <v>72</v>
      </c>
      <c r="B140" s="35">
        <v>1315.75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</row>
    <row r="141" spans="1:19">
      <c r="A141" s="33" t="s">
        <v>72</v>
      </c>
      <c r="B141" s="35">
        <v>698.5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</row>
    <row r="142" spans="1:19">
      <c r="A142" s="33" t="s">
        <v>71</v>
      </c>
      <c r="B142" s="35">
        <v>667.18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</row>
    <row r="143" spans="1:19">
      <c r="A143" s="33" t="s">
        <v>71</v>
      </c>
      <c r="B143" s="35">
        <v>187.39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</row>
    <row r="144" spans="1:19">
      <c r="A144" s="33" t="s">
        <v>72</v>
      </c>
      <c r="B144" s="35">
        <v>286.62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</row>
    <row r="145" spans="1:19">
      <c r="A145" s="33" t="s">
        <v>71</v>
      </c>
      <c r="B145" s="35">
        <v>624.45000000000005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</row>
    <row r="146" spans="1:19">
      <c r="A146" s="33" t="s">
        <v>71</v>
      </c>
      <c r="B146" s="35">
        <v>1116.8699999999999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</row>
    <row r="147" spans="1:19">
      <c r="A147" s="33" t="s">
        <v>72</v>
      </c>
      <c r="B147" s="35">
        <v>792.35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</row>
    <row r="148" spans="1:19">
      <c r="A148" s="33" t="s">
        <v>71</v>
      </c>
      <c r="B148" s="35">
        <v>1243.07</v>
      </c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</row>
    <row r="149" spans="1:19">
      <c r="A149" s="33" t="s">
        <v>71</v>
      </c>
      <c r="B149" s="35">
        <v>226.16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</row>
    <row r="150" spans="1:19">
      <c r="A150" s="33" t="s">
        <v>71</v>
      </c>
      <c r="B150" s="35">
        <v>515.16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</row>
    <row r="151" spans="1:19">
      <c r="A151" s="33" t="s">
        <v>72</v>
      </c>
      <c r="B151" s="35">
        <v>715.19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</row>
    <row r="152" spans="1:19">
      <c r="A152" s="33" t="s">
        <v>71</v>
      </c>
      <c r="B152" s="35">
        <v>833.47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</row>
    <row r="153" spans="1:19">
      <c r="A153" s="33" t="s">
        <v>71</v>
      </c>
      <c r="B153" s="35">
        <v>191.04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</row>
    <row r="154" spans="1:19">
      <c r="A154" s="33" t="s">
        <v>71</v>
      </c>
      <c r="B154" s="35">
        <v>1015.18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</row>
    <row r="155" spans="1:19">
      <c r="A155" s="33" t="s">
        <v>72</v>
      </c>
      <c r="B155" s="35">
        <v>1259.8699999999999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</row>
    <row r="156" spans="1:19">
      <c r="A156" s="33" t="s">
        <v>72</v>
      </c>
      <c r="B156" s="35">
        <v>579.17999999999995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</row>
    <row r="157" spans="1:19">
      <c r="A157" s="33" t="s">
        <v>72</v>
      </c>
      <c r="B157" s="35">
        <v>1133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</row>
    <row r="158" spans="1:19">
      <c r="A158" s="33" t="s">
        <v>71</v>
      </c>
      <c r="B158" s="35">
        <v>300.64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</row>
    <row r="159" spans="1:19">
      <c r="A159" s="33" t="s">
        <v>72</v>
      </c>
      <c r="B159" s="35">
        <v>719.08</v>
      </c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</row>
    <row r="160" spans="1:19">
      <c r="A160" s="33" t="s">
        <v>72</v>
      </c>
      <c r="B160" s="35">
        <v>725.95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</row>
    <row r="161" spans="1:19">
      <c r="A161" s="33" t="s">
        <v>72</v>
      </c>
      <c r="B161" s="35">
        <v>299.33999999999997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</row>
    <row r="162" spans="1:19">
      <c r="A162" s="33" t="s">
        <v>72</v>
      </c>
      <c r="B162" s="35">
        <v>566.07000000000005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</row>
    <row r="163" spans="1:19">
      <c r="A163" s="33" t="s">
        <v>72</v>
      </c>
      <c r="B163" s="35">
        <v>562.70000000000005</v>
      </c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</row>
    <row r="164" spans="1:19">
      <c r="A164" s="33" t="s">
        <v>71</v>
      </c>
      <c r="B164" s="35">
        <v>218.43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</row>
    <row r="165" spans="1:19">
      <c r="A165" s="33" t="s">
        <v>71</v>
      </c>
      <c r="B165" s="35">
        <v>908.22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</row>
    <row r="166" spans="1:19">
      <c r="A166" s="33" t="s">
        <v>72</v>
      </c>
      <c r="B166" s="35">
        <v>259.82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</row>
    <row r="167" spans="1:19">
      <c r="A167" s="33" t="s">
        <v>71</v>
      </c>
      <c r="B167" s="35">
        <v>869.65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</row>
    <row r="168" spans="1:19">
      <c r="A168" s="33" t="s">
        <v>72</v>
      </c>
      <c r="B168" s="35">
        <v>533.47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</row>
    <row r="169" spans="1:19">
      <c r="A169" s="33" t="s">
        <v>72</v>
      </c>
      <c r="B169" s="35">
        <v>506.2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</row>
    <row r="170" spans="1:19">
      <c r="A170" s="33" t="s">
        <v>71</v>
      </c>
      <c r="B170" s="35">
        <v>527.77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</row>
    <row r="171" spans="1:19">
      <c r="A171" s="33" t="s">
        <v>72</v>
      </c>
      <c r="B171" s="35">
        <v>818.15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</row>
    <row r="172" spans="1:19">
      <c r="A172" s="33" t="s">
        <v>71</v>
      </c>
      <c r="B172" s="35">
        <v>1249.98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</row>
    <row r="173" spans="1:19">
      <c r="A173" s="33" t="s">
        <v>71</v>
      </c>
      <c r="B173" s="35">
        <v>701.74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</row>
    <row r="174" spans="1:19">
      <c r="A174" s="33" t="s">
        <v>72</v>
      </c>
      <c r="B174" s="35">
        <v>33086.040000000008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</row>
    <row r="175" spans="1:19">
      <c r="A175" s="33" t="s">
        <v>71</v>
      </c>
      <c r="B175" s="35">
        <v>632.89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</row>
    <row r="176" spans="1:19">
      <c r="A176" s="33" t="s">
        <v>72</v>
      </c>
      <c r="B176" s="35">
        <v>-126.23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</row>
    <row r="177" spans="1:19">
      <c r="A177" s="33" t="s">
        <v>72</v>
      </c>
      <c r="B177" s="35">
        <v>368.66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</row>
    <row r="178" spans="1:19">
      <c r="A178" s="33" t="s">
        <v>71</v>
      </c>
      <c r="B178" s="35">
        <v>564.02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</row>
    <row r="179" spans="1:19">
      <c r="A179" s="33" t="s">
        <v>72</v>
      </c>
      <c r="B179" s="35">
        <v>279.10000000000002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</row>
    <row r="180" spans="1:19">
      <c r="A180" s="33" t="s">
        <v>71</v>
      </c>
      <c r="B180" s="35">
        <v>570.72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</row>
    <row r="181" spans="1:19">
      <c r="A181" s="33" t="s">
        <v>72</v>
      </c>
      <c r="B181" s="35">
        <v>679.32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</row>
    <row r="182" spans="1:19">
      <c r="A182" s="33" t="s">
        <v>72</v>
      </c>
      <c r="B182" s="35">
        <v>1462.53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</row>
    <row r="183" spans="1:19">
      <c r="A183" s="33" t="s">
        <v>72</v>
      </c>
      <c r="B183" s="35">
        <v>-213.84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</row>
    <row r="184" spans="1:19">
      <c r="A184" s="33">
        <v>36970</v>
      </c>
      <c r="B184" s="35">
        <v>539.35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</row>
    <row r="185" spans="1:19">
      <c r="A185" s="33" t="s">
        <v>71</v>
      </c>
      <c r="B185" s="35">
        <v>1315.75</v>
      </c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spans="1:19">
      <c r="A186" s="33" t="s">
        <v>72</v>
      </c>
      <c r="B186" s="35">
        <v>698.5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spans="1:19">
      <c r="A187" s="33" t="s">
        <v>71</v>
      </c>
      <c r="B187" s="35">
        <v>667.18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spans="1:19">
      <c r="A188" s="33" t="s">
        <v>72</v>
      </c>
      <c r="B188" s="35">
        <v>187.39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19">
      <c r="A189" s="33" t="s">
        <v>72</v>
      </c>
      <c r="B189" s="35">
        <v>286.62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19">
      <c r="A190" s="33" t="s">
        <v>71</v>
      </c>
      <c r="B190" s="35">
        <v>624.45000000000005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19">
      <c r="A191" s="33" t="s">
        <v>72</v>
      </c>
      <c r="B191" s="35">
        <v>1116.8699999999999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19">
      <c r="A192" s="33" t="s">
        <v>71</v>
      </c>
      <c r="B192" s="35">
        <v>792.35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19">
      <c r="A193" s="33" t="s">
        <v>71</v>
      </c>
      <c r="B193" s="35">
        <v>1243.07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19">
      <c r="A194" s="33" t="s">
        <v>72</v>
      </c>
      <c r="B194" s="35">
        <v>226.16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19">
      <c r="A195" s="33">
        <v>36950</v>
      </c>
      <c r="B195" s="35">
        <v>515.16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19">
      <c r="A196" s="33" t="s">
        <v>72</v>
      </c>
      <c r="B196" s="35">
        <v>715.19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19">
      <c r="A197" s="33" t="s">
        <v>72</v>
      </c>
      <c r="B197" s="35">
        <v>915.22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  <row r="198" spans="1:19">
      <c r="A198" s="33" t="s">
        <v>71</v>
      </c>
      <c r="B198" s="35">
        <v>1115.25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</row>
    <row r="199" spans="1:19">
      <c r="A199" s="33" t="s">
        <v>72</v>
      </c>
      <c r="B199" s="35">
        <v>1315.28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</row>
    <row r="200" spans="1:19">
      <c r="A200" s="33" t="s">
        <v>71</v>
      </c>
      <c r="B200" s="35">
        <v>667.18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</row>
    <row r="201" spans="1:19">
      <c r="A201" s="33" t="s">
        <v>72</v>
      </c>
      <c r="B201" s="35">
        <v>187.39</v>
      </c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</row>
    <row r="202" spans="1:19">
      <c r="A202" s="33" t="s">
        <v>72</v>
      </c>
      <c r="B202" s="35">
        <v>286.62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</row>
    <row r="203" spans="1:19">
      <c r="A203" s="33" t="s">
        <v>72</v>
      </c>
      <c r="B203" s="35">
        <v>624.45000000000005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</row>
    <row r="204" spans="1:19">
      <c r="A204" s="33">
        <v>36970</v>
      </c>
      <c r="B204" s="35">
        <v>1116.8699999999999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</row>
    <row r="205" spans="1:19">
      <c r="A205" s="33" t="s">
        <v>71</v>
      </c>
      <c r="B205" s="35">
        <v>515.16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</row>
    <row r="206" spans="1:19">
      <c r="A206" s="33" t="s">
        <v>72</v>
      </c>
      <c r="B206" s="35">
        <v>715.19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</row>
    <row r="207" spans="1:19">
      <c r="A207" s="33" t="s">
        <v>101</v>
      </c>
      <c r="B207" s="35">
        <v>915.22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</row>
    <row r="208" spans="1:19">
      <c r="A208" s="36"/>
      <c r="B208" s="37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</row>
    <row r="209" spans="1:19">
      <c r="A209" s="36"/>
      <c r="B209" s="37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</row>
    <row r="210" spans="1:19">
      <c r="A210" s="36"/>
      <c r="B210" s="37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</row>
    <row r="211" spans="1:19">
      <c r="A211" s="36"/>
      <c r="B211" s="37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</row>
    <row r="212" spans="1:19">
      <c r="A212" s="36"/>
      <c r="B212" s="37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 spans="1:19">
      <c r="A213" s="36"/>
      <c r="B213" s="37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 spans="1:19">
      <c r="A214" s="36"/>
      <c r="B214" s="37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 spans="1:19">
      <c r="A215" s="36"/>
      <c r="B215" s="37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 spans="1:19">
      <c r="A216" s="36"/>
      <c r="B216" s="37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 spans="1:19">
      <c r="A217" s="36"/>
      <c r="B217" s="37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  <row r="218" spans="1:19">
      <c r="A218" s="36"/>
      <c r="B218" s="37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</row>
    <row r="219" spans="1:19">
      <c r="A219" s="36"/>
      <c r="B219" s="37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</row>
    <row r="220" spans="1:19">
      <c r="A220" s="36"/>
      <c r="B220" s="37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</row>
    <row r="221" spans="1:19">
      <c r="A221" s="36"/>
      <c r="B221" s="37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</row>
    <row r="222" spans="1:19">
      <c r="A222" s="36"/>
      <c r="B222" s="37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</row>
    <row r="223" spans="1:19">
      <c r="A223" s="36"/>
      <c r="B223" s="37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</row>
    <row r="224" spans="1:19">
      <c r="A224" s="36"/>
      <c r="B224" s="37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</row>
    <row r="225" spans="1:19">
      <c r="A225" s="36"/>
      <c r="B225" s="37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</row>
    <row r="226" spans="1:19">
      <c r="A226" s="36"/>
      <c r="B226" s="37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</row>
    <row r="227" spans="1:19">
      <c r="A227" s="36"/>
      <c r="B227" s="37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</row>
    <row r="228" spans="1:19">
      <c r="A228" s="36"/>
      <c r="B228" s="37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</row>
    <row r="229" spans="1:19">
      <c r="A229" s="36"/>
      <c r="B229" s="37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</row>
    <row r="230" spans="1:19">
      <c r="A230" s="36"/>
      <c r="B230" s="37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</row>
    <row r="231" spans="1:19">
      <c r="A231" s="36"/>
      <c r="B231" s="37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</row>
    <row r="232" spans="1:19">
      <c r="A232" s="36"/>
      <c r="B232" s="37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</row>
    <row r="233" spans="1:19">
      <c r="A233" s="36"/>
      <c r="B233" s="37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</row>
    <row r="234" spans="1:19">
      <c r="A234" s="36"/>
      <c r="B234" s="37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</row>
    <row r="235" spans="1:19">
      <c r="A235" s="36"/>
      <c r="B235" s="37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</row>
    <row r="236" spans="1:19">
      <c r="A236" s="36"/>
      <c r="B236" s="37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</row>
    <row r="237" spans="1:19">
      <c r="A237" s="36"/>
      <c r="B237" s="37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</row>
    <row r="238" spans="1:19">
      <c r="A238" s="36"/>
      <c r="B238" s="37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</row>
    <row r="239" spans="1:19">
      <c r="A239" s="36"/>
      <c r="B239" s="37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</row>
    <row r="240" spans="1:19">
      <c r="A240" s="36"/>
      <c r="B240" s="37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</row>
    <row r="241" spans="1:19">
      <c r="A241" s="36"/>
      <c r="B241" s="37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</row>
    <row r="242" spans="1:19">
      <c r="A242" s="36"/>
      <c r="B242" s="37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</row>
    <row r="243" spans="1:19">
      <c r="A243" s="36"/>
      <c r="B243" s="37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</row>
    <row r="244" spans="1:19">
      <c r="A244" s="36"/>
      <c r="B244" s="37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</row>
    <row r="245" spans="1:19">
      <c r="A245" s="36"/>
      <c r="B245" s="37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</row>
    <row r="246" spans="1:19">
      <c r="A246" s="36"/>
      <c r="B246" s="37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</row>
    <row r="247" spans="1:19">
      <c r="A247" s="36"/>
      <c r="B247" s="37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</row>
    <row r="248" spans="1:19">
      <c r="A248" s="36"/>
      <c r="B248" s="37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</row>
    <row r="249" spans="1:19">
      <c r="A249" s="36"/>
      <c r="B249" s="37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</row>
    <row r="250" spans="1:19">
      <c r="A250" s="36"/>
      <c r="B250" s="37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</row>
    <row r="251" spans="1:19">
      <c r="A251" s="36"/>
      <c r="B251" s="37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</row>
    <row r="252" spans="1:19">
      <c r="A252" s="36"/>
      <c r="B252" s="37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</row>
    <row r="253" spans="1:19">
      <c r="A253" s="36"/>
      <c r="B253" s="37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</row>
    <row r="254" spans="1:19">
      <c r="A254" s="36"/>
      <c r="B254" s="37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19">
      <c r="A255" s="36"/>
      <c r="B255" s="37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19">
      <c r="A256" s="36"/>
      <c r="B256" s="37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19">
      <c r="A257" s="36"/>
      <c r="B257" s="37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19">
      <c r="A258" s="36"/>
      <c r="B258" s="37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19">
      <c r="A259" s="36"/>
      <c r="B259" s="37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  <row r="260" spans="1:19">
      <c r="A260" s="36"/>
      <c r="B260" s="37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</row>
    <row r="261" spans="1:19">
      <c r="A261" s="36"/>
      <c r="B261" s="37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</row>
    <row r="262" spans="1:19">
      <c r="A262" s="36"/>
      <c r="B262" s="37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</row>
    <row r="263" spans="1:19">
      <c r="A263" s="36"/>
      <c r="B263" s="37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</row>
    <row r="264" spans="1:19">
      <c r="A264" s="36"/>
      <c r="B264" s="37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</row>
    <row r="265" spans="1:19">
      <c r="A265" s="36"/>
      <c r="B265" s="37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</row>
    <row r="266" spans="1:19">
      <c r="A266" s="36"/>
      <c r="B266" s="37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</row>
    <row r="267" spans="1:19">
      <c r="A267" s="36"/>
      <c r="B267" s="37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</row>
    <row r="268" spans="1:19">
      <c r="A268" s="36"/>
      <c r="B268" s="37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</row>
    <row r="269" spans="1:19">
      <c r="A269" s="36"/>
      <c r="B269" s="37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</row>
    <row r="270" spans="1:19">
      <c r="A270" s="36"/>
      <c r="B270" s="37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</row>
    <row r="271" spans="1:19">
      <c r="A271" s="36"/>
      <c r="B271" s="37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</row>
    <row r="272" spans="1:19">
      <c r="A272" s="36"/>
      <c r="B272" s="37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</row>
    <row r="273" spans="1:19">
      <c r="A273" s="36"/>
      <c r="B273" s="37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</row>
    <row r="274" spans="1:19">
      <c r="A274" s="36"/>
      <c r="B274" s="37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19">
      <c r="A275" s="36"/>
      <c r="B275" s="37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19">
      <c r="A276" s="36"/>
      <c r="B276" s="37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19">
      <c r="A277" s="36"/>
      <c r="B277" s="37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19">
      <c r="A278" s="36"/>
      <c r="B278" s="37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19">
      <c r="A279" s="36"/>
      <c r="B279" s="37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  <row r="280" spans="1:19">
      <c r="A280" s="36"/>
      <c r="B280" s="37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</row>
    <row r="281" spans="1:19">
      <c r="A281" s="36"/>
      <c r="B281" s="37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</row>
    <row r="282" spans="1:19">
      <c r="A282" s="36"/>
      <c r="B282" s="37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</row>
    <row r="283" spans="1:19">
      <c r="A283" s="36"/>
      <c r="B283" s="37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</row>
    <row r="284" spans="1:19">
      <c r="A284" s="36"/>
      <c r="B284" s="37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</row>
    <row r="285" spans="1:19">
      <c r="A285" s="36"/>
      <c r="B285" s="3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</row>
    <row r="286" spans="1:19">
      <c r="A286" s="36"/>
      <c r="B286" s="3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</row>
    <row r="287" spans="1:19">
      <c r="A287" s="36"/>
      <c r="B287" s="3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</row>
    <row r="288" spans="1:19">
      <c r="A288" s="36"/>
      <c r="B288" s="3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</row>
    <row r="289" spans="1:2">
      <c r="A289" s="36"/>
      <c r="B289" s="37"/>
    </row>
    <row r="290" spans="1:2">
      <c r="A290" s="36"/>
      <c r="B290" s="37"/>
    </row>
    <row r="291" spans="1:2">
      <c r="A291" s="36"/>
      <c r="B291" s="37"/>
    </row>
    <row r="292" spans="1:2">
      <c r="A292" s="36"/>
      <c r="B292" s="37"/>
    </row>
    <row r="293" spans="1:2">
      <c r="A293" s="36"/>
      <c r="B293" s="37"/>
    </row>
    <row r="294" spans="1:2">
      <c r="A294" s="36"/>
      <c r="B294" s="37"/>
    </row>
    <row r="295" spans="1:2">
      <c r="A295" s="36"/>
      <c r="B295" s="37"/>
    </row>
    <row r="296" spans="1:2">
      <c r="A296" s="36"/>
      <c r="B296" s="37"/>
    </row>
    <row r="297" spans="1:2">
      <c r="A297" s="36"/>
      <c r="B297" s="37"/>
    </row>
    <row r="298" spans="1:2">
      <c r="A298" s="36"/>
      <c r="B298" s="37"/>
    </row>
    <row r="299" spans="1:2">
      <c r="A299" s="36"/>
      <c r="B299" s="37"/>
    </row>
    <row r="300" spans="1:2">
      <c r="A300" s="36"/>
      <c r="B300" s="37"/>
    </row>
    <row r="301" spans="1:2">
      <c r="A301" s="36"/>
      <c r="B301" s="37"/>
    </row>
    <row r="302" spans="1:2">
      <c r="A302" s="36"/>
      <c r="B302" s="37"/>
    </row>
    <row r="303" spans="1:2">
      <c r="A303" s="36"/>
      <c r="B303" s="37"/>
    </row>
    <row r="304" spans="1:2">
      <c r="A304" s="36"/>
      <c r="B304" s="37"/>
    </row>
    <row r="305" spans="1:2">
      <c r="A305" s="36"/>
      <c r="B305" s="37"/>
    </row>
    <row r="306" spans="1:2">
      <c r="A306" s="36"/>
      <c r="B306" s="37"/>
    </row>
    <row r="307" spans="1:2">
      <c r="A307" s="36"/>
      <c r="B307" s="37"/>
    </row>
    <row r="308" spans="1:2">
      <c r="A308" s="36"/>
      <c r="B308" s="37"/>
    </row>
    <row r="309" spans="1:2">
      <c r="A309" s="36"/>
      <c r="B309" s="37"/>
    </row>
    <row r="310" spans="1:2">
      <c r="A310" s="36"/>
      <c r="B310" s="37"/>
    </row>
    <row r="311" spans="1:2">
      <c r="A311" s="36"/>
      <c r="B311" s="37"/>
    </row>
    <row r="312" spans="1:2">
      <c r="A312" s="36"/>
      <c r="B312" s="37"/>
    </row>
    <row r="313" spans="1:2">
      <c r="A313" s="36"/>
      <c r="B313" s="37"/>
    </row>
    <row r="314" spans="1:2">
      <c r="A314" s="36"/>
      <c r="B314" s="37"/>
    </row>
    <row r="315" spans="1:2">
      <c r="A315" s="36"/>
      <c r="B315" s="37"/>
    </row>
    <row r="316" spans="1:2">
      <c r="A316" s="36"/>
      <c r="B316" s="37"/>
    </row>
    <row r="317" spans="1:2">
      <c r="A317" s="36"/>
      <c r="B317" s="37"/>
    </row>
    <row r="318" spans="1:2">
      <c r="A318" s="36"/>
      <c r="B318" s="37"/>
    </row>
    <row r="319" spans="1:2">
      <c r="A319" s="36"/>
      <c r="B319" s="37"/>
    </row>
    <row r="320" spans="1:2">
      <c r="A320" s="36"/>
      <c r="B320" s="37"/>
    </row>
    <row r="321" spans="1:2">
      <c r="A321" s="36"/>
      <c r="B321" s="37"/>
    </row>
    <row r="322" spans="1:2">
      <c r="A322" s="36"/>
      <c r="B322" s="37"/>
    </row>
    <row r="323" spans="1:2">
      <c r="A323" s="36"/>
      <c r="B323" s="37"/>
    </row>
    <row r="324" spans="1:2">
      <c r="A324" s="36"/>
      <c r="B324" s="37"/>
    </row>
    <row r="325" spans="1:2">
      <c r="A325" s="36"/>
      <c r="B325" s="37"/>
    </row>
    <row r="326" spans="1:2">
      <c r="A326" s="36"/>
      <c r="B326" s="37"/>
    </row>
    <row r="327" spans="1:2">
      <c r="A327" s="36"/>
      <c r="B327" s="37"/>
    </row>
    <row r="328" spans="1:2">
      <c r="A328" s="36"/>
      <c r="B328" s="37"/>
    </row>
    <row r="329" spans="1:2">
      <c r="A329" s="36"/>
      <c r="B329" s="37"/>
    </row>
    <row r="330" spans="1:2">
      <c r="A330" s="36"/>
      <c r="B330" s="37"/>
    </row>
    <row r="331" spans="1:2">
      <c r="A331" s="36"/>
      <c r="B331" s="37"/>
    </row>
    <row r="332" spans="1:2">
      <c r="A332" s="36"/>
      <c r="B332" s="37"/>
    </row>
    <row r="333" spans="1:2">
      <c r="A333" s="36"/>
      <c r="B333" s="37"/>
    </row>
    <row r="334" spans="1:2">
      <c r="A334" s="36"/>
      <c r="B334" s="37"/>
    </row>
    <row r="335" spans="1:2">
      <c r="A335" s="36"/>
      <c r="B335" s="37"/>
    </row>
    <row r="336" spans="1:2">
      <c r="A336" s="36"/>
      <c r="B336" s="37"/>
    </row>
    <row r="337" spans="1:2">
      <c r="A337" s="36"/>
      <c r="B337" s="37"/>
    </row>
    <row r="338" spans="1:2">
      <c r="A338" s="36"/>
      <c r="B338" s="37"/>
    </row>
    <row r="339" spans="1:2">
      <c r="A339" s="36"/>
      <c r="B339" s="37"/>
    </row>
    <row r="340" spans="1:2">
      <c r="A340" s="36"/>
      <c r="B340" s="37"/>
    </row>
    <row r="341" spans="1:2">
      <c r="A341" s="36"/>
      <c r="B341" s="37"/>
    </row>
    <row r="342" spans="1:2">
      <c r="A342" s="36"/>
      <c r="B342" s="37"/>
    </row>
    <row r="343" spans="1:2">
      <c r="A343" s="36"/>
      <c r="B343" s="37"/>
    </row>
    <row r="344" spans="1:2">
      <c r="A344" s="36"/>
      <c r="B344" s="37"/>
    </row>
    <row r="345" spans="1:2">
      <c r="A345" s="36"/>
      <c r="B345" s="37"/>
    </row>
    <row r="346" spans="1:2">
      <c r="A346" s="36"/>
      <c r="B346" s="37"/>
    </row>
    <row r="347" spans="1:2">
      <c r="A347" s="36"/>
      <c r="B347" s="37"/>
    </row>
    <row r="348" spans="1:2">
      <c r="A348" s="36"/>
      <c r="B348" s="37"/>
    </row>
    <row r="349" spans="1:2">
      <c r="A349" s="36"/>
      <c r="B349" s="37"/>
    </row>
    <row r="350" spans="1:2">
      <c r="A350" s="36"/>
      <c r="B350" s="37"/>
    </row>
    <row r="351" spans="1:2">
      <c r="A351" s="36"/>
      <c r="B351" s="37"/>
    </row>
    <row r="352" spans="1:2">
      <c r="A352" s="36"/>
      <c r="B352" s="37"/>
    </row>
    <row r="353" spans="1:2">
      <c r="A353" s="36"/>
      <c r="B353" s="37"/>
    </row>
    <row r="354" spans="1:2">
      <c r="A354" s="36"/>
      <c r="B354" s="37"/>
    </row>
    <row r="355" spans="1:2">
      <c r="A355" s="36"/>
      <c r="B355" s="37"/>
    </row>
    <row r="356" spans="1:2">
      <c r="A356" s="36"/>
      <c r="B356" s="37"/>
    </row>
    <row r="357" spans="1:2">
      <c r="A357" s="36"/>
      <c r="B357" s="37"/>
    </row>
    <row r="358" spans="1:2">
      <c r="A358" s="36"/>
      <c r="B358" s="37"/>
    </row>
    <row r="359" spans="1:2">
      <c r="A359" s="36"/>
      <c r="B359" s="37"/>
    </row>
    <row r="360" spans="1:2">
      <c r="A360" s="36"/>
      <c r="B360" s="37"/>
    </row>
    <row r="361" spans="1:2">
      <c r="A361" s="36"/>
      <c r="B361" s="37"/>
    </row>
    <row r="362" spans="1:2">
      <c r="A362" s="36"/>
      <c r="B362" s="37"/>
    </row>
    <row r="363" spans="1:2">
      <c r="A363" s="36"/>
      <c r="B363" s="37"/>
    </row>
    <row r="364" spans="1:2">
      <c r="A364" s="36"/>
      <c r="B364" s="37"/>
    </row>
    <row r="365" spans="1:2">
      <c r="A365" s="36"/>
      <c r="B365" s="37"/>
    </row>
    <row r="366" spans="1:2">
      <c r="A366" s="36"/>
      <c r="B366" s="37"/>
    </row>
    <row r="367" spans="1:2">
      <c r="A367" s="36"/>
      <c r="B367" s="37"/>
    </row>
    <row r="368" spans="1:2">
      <c r="A368" s="36"/>
      <c r="B368" s="37"/>
    </row>
    <row r="369" spans="1:2">
      <c r="A369" s="36"/>
      <c r="B369" s="37"/>
    </row>
    <row r="370" spans="1:2">
      <c r="A370" s="36"/>
      <c r="B370" s="37"/>
    </row>
    <row r="371" spans="1:2">
      <c r="A371" s="36"/>
      <c r="B371" s="37"/>
    </row>
    <row r="372" spans="1:2">
      <c r="A372" s="36"/>
      <c r="B372" s="37"/>
    </row>
    <row r="373" spans="1:2">
      <c r="A373" s="36"/>
      <c r="B373" s="37"/>
    </row>
    <row r="374" spans="1:2">
      <c r="A374" s="36"/>
      <c r="B374" s="37"/>
    </row>
    <row r="375" spans="1:2">
      <c r="A375" s="36"/>
      <c r="B375" s="37"/>
    </row>
    <row r="376" spans="1:2">
      <c r="A376" s="36"/>
      <c r="B376" s="37"/>
    </row>
    <row r="377" spans="1:2">
      <c r="A377" s="36"/>
      <c r="B377" s="37"/>
    </row>
    <row r="378" spans="1:2">
      <c r="A378" s="36"/>
      <c r="B378" s="37"/>
    </row>
    <row r="379" spans="1:2">
      <c r="A379" s="36"/>
      <c r="B379" s="37"/>
    </row>
    <row r="380" spans="1:2">
      <c r="A380" s="36"/>
      <c r="B380" s="37"/>
    </row>
    <row r="381" spans="1:2">
      <c r="A381" s="36"/>
      <c r="B381" s="37"/>
    </row>
    <row r="382" spans="1:2">
      <c r="A382" s="36"/>
      <c r="B382" s="37"/>
    </row>
    <row r="383" spans="1:2">
      <c r="A383" s="36"/>
      <c r="B383" s="37"/>
    </row>
    <row r="384" spans="1:2">
      <c r="A384" s="36"/>
      <c r="B384" s="37"/>
    </row>
    <row r="385" spans="1:2">
      <c r="A385" s="36"/>
      <c r="B385" s="37"/>
    </row>
    <row r="386" spans="1:2">
      <c r="A386" s="36"/>
      <c r="B386" s="37"/>
    </row>
    <row r="387" spans="1:2">
      <c r="A387" s="36"/>
      <c r="B387" s="37"/>
    </row>
    <row r="388" spans="1:2">
      <c r="A388" s="36"/>
      <c r="B388" s="37"/>
    </row>
    <row r="389" spans="1:2">
      <c r="A389" s="36"/>
      <c r="B389" s="37"/>
    </row>
    <row r="390" spans="1:2">
      <c r="A390" s="36"/>
      <c r="B390" s="37"/>
    </row>
    <row r="391" spans="1:2">
      <c r="A391" s="36"/>
      <c r="B391" s="37"/>
    </row>
    <row r="392" spans="1:2">
      <c r="A392" s="36"/>
      <c r="B392" s="37"/>
    </row>
    <row r="393" spans="1:2">
      <c r="A393" s="36"/>
      <c r="B393" s="37"/>
    </row>
    <row r="394" spans="1:2">
      <c r="A394" s="36"/>
      <c r="B394" s="37"/>
    </row>
    <row r="395" spans="1:2">
      <c r="A395" s="36"/>
      <c r="B395" s="37"/>
    </row>
    <row r="396" spans="1:2">
      <c r="A396" s="36"/>
      <c r="B396" s="37"/>
    </row>
    <row r="397" spans="1:2">
      <c r="A397" s="36"/>
      <c r="B397" s="37"/>
    </row>
    <row r="398" spans="1:2">
      <c r="A398" s="36"/>
      <c r="B398" s="37"/>
    </row>
    <row r="399" spans="1:2">
      <c r="A399" s="36"/>
      <c r="B399" s="37"/>
    </row>
    <row r="400" spans="1:2">
      <c r="A400" s="36"/>
      <c r="B400" s="37"/>
    </row>
    <row r="401" spans="1:2">
      <c r="A401" s="36"/>
      <c r="B401" s="37"/>
    </row>
    <row r="402" spans="1:2">
      <c r="A402" s="36"/>
      <c r="B402" s="37"/>
    </row>
    <row r="403" spans="1:2">
      <c r="A403" s="36"/>
      <c r="B403" s="37"/>
    </row>
    <row r="404" spans="1:2">
      <c r="A404" s="36"/>
      <c r="B404" s="37"/>
    </row>
    <row r="405" spans="1:2">
      <c r="A405" s="36"/>
      <c r="B405" s="37"/>
    </row>
    <row r="406" spans="1:2">
      <c r="A406" s="36"/>
      <c r="B406" s="37"/>
    </row>
    <row r="407" spans="1:2">
      <c r="A407" s="36"/>
      <c r="B407" s="37"/>
    </row>
    <row r="408" spans="1:2">
      <c r="A408" s="36"/>
      <c r="B408" s="37"/>
    </row>
    <row r="409" spans="1:2">
      <c r="A409" s="36"/>
      <c r="B409" s="37"/>
    </row>
    <row r="410" spans="1:2">
      <c r="A410" s="36"/>
      <c r="B410" s="37"/>
    </row>
    <row r="411" spans="1:2">
      <c r="A411" s="36"/>
      <c r="B411" s="37"/>
    </row>
    <row r="412" spans="1:2">
      <c r="A412" s="36"/>
      <c r="B412" s="37"/>
    </row>
    <row r="413" spans="1:2">
      <c r="A413" s="36"/>
      <c r="B413" s="37"/>
    </row>
    <row r="414" spans="1:2">
      <c r="A414" s="36"/>
      <c r="B414" s="37"/>
    </row>
    <row r="415" spans="1:2">
      <c r="A415" s="36"/>
      <c r="B415" s="37"/>
    </row>
    <row r="416" spans="1:2">
      <c r="A416" s="36"/>
      <c r="B416" s="37"/>
    </row>
    <row r="417" spans="1:2">
      <c r="A417" s="36"/>
      <c r="B417" s="37"/>
    </row>
    <row r="418" spans="1:2">
      <c r="A418" s="36"/>
      <c r="B418" s="37"/>
    </row>
    <row r="419" spans="1:2">
      <c r="A419" s="36"/>
      <c r="B419" s="37"/>
    </row>
    <row r="420" spans="1:2">
      <c r="A420" s="36"/>
      <c r="B420" s="37"/>
    </row>
    <row r="421" spans="1:2">
      <c r="A421" s="36"/>
      <c r="B421" s="37"/>
    </row>
    <row r="422" spans="1:2">
      <c r="A422" s="36"/>
      <c r="B422" s="37"/>
    </row>
    <row r="423" spans="1:2">
      <c r="A423" s="36"/>
      <c r="B423" s="37"/>
    </row>
    <row r="424" spans="1:2">
      <c r="A424" s="36"/>
      <c r="B424" s="37"/>
    </row>
    <row r="425" spans="1:2">
      <c r="A425" s="36"/>
      <c r="B425" s="37"/>
    </row>
    <row r="426" spans="1:2">
      <c r="A426" s="36"/>
      <c r="B426" s="37"/>
    </row>
    <row r="427" spans="1:2">
      <c r="A427" s="36"/>
      <c r="B427" s="37"/>
    </row>
    <row r="428" spans="1:2">
      <c r="A428" s="36"/>
      <c r="B428" s="37"/>
    </row>
    <row r="429" spans="1:2">
      <c r="A429" s="36"/>
      <c r="B429" s="37"/>
    </row>
    <row r="430" spans="1:2">
      <c r="A430" s="36"/>
      <c r="B430" s="37"/>
    </row>
    <row r="431" spans="1:2">
      <c r="A431" s="36"/>
      <c r="B431" s="37"/>
    </row>
    <row r="432" spans="1:2">
      <c r="A432" s="36"/>
      <c r="B432" s="37"/>
    </row>
    <row r="433" spans="1:2">
      <c r="A433" s="36"/>
      <c r="B433" s="37"/>
    </row>
    <row r="434" spans="1:2">
      <c r="A434" s="36"/>
      <c r="B434" s="37"/>
    </row>
    <row r="435" spans="1:2">
      <c r="A435" s="36"/>
      <c r="B435" s="37"/>
    </row>
    <row r="436" spans="1:2">
      <c r="A436" s="36"/>
      <c r="B436" s="37"/>
    </row>
    <row r="437" spans="1:2">
      <c r="A437" s="36"/>
      <c r="B437" s="37"/>
    </row>
    <row r="438" spans="1:2">
      <c r="A438" s="36"/>
      <c r="B438" s="37"/>
    </row>
    <row r="439" spans="1:2">
      <c r="A439" s="36"/>
      <c r="B439" s="37"/>
    </row>
    <row r="440" spans="1:2">
      <c r="A440" s="36"/>
      <c r="B440" s="37"/>
    </row>
    <row r="441" spans="1:2">
      <c r="A441" s="36"/>
      <c r="B441" s="37"/>
    </row>
    <row r="442" spans="1:2">
      <c r="A442" s="36"/>
      <c r="B442" s="37"/>
    </row>
    <row r="443" spans="1:2">
      <c r="A443" s="36"/>
      <c r="B443" s="37"/>
    </row>
    <row r="444" spans="1:2">
      <c r="A444" s="36"/>
      <c r="B444" s="37"/>
    </row>
    <row r="445" spans="1:2">
      <c r="A445" s="36"/>
      <c r="B445" s="37"/>
    </row>
    <row r="446" spans="1:2">
      <c r="A446" s="36"/>
      <c r="B446" s="37"/>
    </row>
    <row r="447" spans="1:2">
      <c r="A447" s="36"/>
      <c r="B447" s="37"/>
    </row>
    <row r="448" spans="1:2">
      <c r="A448" s="36"/>
      <c r="B448" s="37"/>
    </row>
    <row r="449" spans="1:2">
      <c r="A449" s="36"/>
      <c r="B449" s="37"/>
    </row>
    <row r="450" spans="1:2">
      <c r="A450" s="36"/>
      <c r="B450" s="37"/>
    </row>
    <row r="451" spans="1:2">
      <c r="A451" s="36"/>
      <c r="B451" s="37"/>
    </row>
    <row r="452" spans="1:2">
      <c r="A452" s="36"/>
      <c r="B452" s="37"/>
    </row>
    <row r="453" spans="1:2">
      <c r="A453" s="36"/>
      <c r="B453" s="37"/>
    </row>
    <row r="454" spans="1:2">
      <c r="A454" s="36"/>
      <c r="B454" s="37"/>
    </row>
    <row r="455" spans="1:2">
      <c r="A455" s="36"/>
      <c r="B455" s="37"/>
    </row>
    <row r="456" spans="1:2">
      <c r="A456" s="36"/>
      <c r="B456" s="37"/>
    </row>
    <row r="457" spans="1:2">
      <c r="A457" s="36"/>
      <c r="B457" s="37"/>
    </row>
    <row r="458" spans="1:2">
      <c r="A458" s="36"/>
      <c r="B458" s="37"/>
    </row>
    <row r="459" spans="1:2">
      <c r="A459" s="36"/>
      <c r="B459" s="37"/>
    </row>
    <row r="460" spans="1:2">
      <c r="A460" s="36"/>
      <c r="B460" s="37"/>
    </row>
    <row r="461" spans="1:2">
      <c r="A461" s="36"/>
      <c r="B461" s="37"/>
    </row>
    <row r="462" spans="1:2">
      <c r="A462" s="36"/>
      <c r="B462" s="37"/>
    </row>
    <row r="463" spans="1:2">
      <c r="A463" s="36"/>
      <c r="B463" s="37"/>
    </row>
    <row r="464" spans="1:2">
      <c r="A464" s="36"/>
      <c r="B464" s="37"/>
    </row>
    <row r="465" spans="1:2">
      <c r="A465" s="36"/>
      <c r="B465" s="37"/>
    </row>
    <row r="466" spans="1:2">
      <c r="A466" s="36"/>
      <c r="B466" s="37"/>
    </row>
    <row r="467" spans="1:2">
      <c r="A467" s="36"/>
      <c r="B467" s="37"/>
    </row>
    <row r="468" spans="1:2">
      <c r="A468" s="36"/>
      <c r="B468" s="37"/>
    </row>
    <row r="469" spans="1:2">
      <c r="A469" s="36"/>
      <c r="B469" s="37"/>
    </row>
    <row r="470" spans="1:2">
      <c r="A470" s="36"/>
      <c r="B470" s="37"/>
    </row>
    <row r="471" spans="1:2">
      <c r="A471" s="36"/>
      <c r="B471" s="37"/>
    </row>
    <row r="472" spans="1:2">
      <c r="A472" s="36"/>
      <c r="B472" s="37"/>
    </row>
    <row r="473" spans="1:2">
      <c r="A473" s="36"/>
      <c r="B473" s="37"/>
    </row>
    <row r="474" spans="1:2">
      <c r="A474" s="36"/>
      <c r="B474" s="37"/>
    </row>
    <row r="475" spans="1:2">
      <c r="A475" s="36"/>
      <c r="B475" s="37"/>
    </row>
    <row r="476" spans="1:2">
      <c r="A476" s="36"/>
      <c r="B476" s="37"/>
    </row>
    <row r="477" spans="1:2">
      <c r="A477" s="36"/>
      <c r="B477" s="37"/>
    </row>
    <row r="478" spans="1:2">
      <c r="A478" s="36"/>
      <c r="B478" s="37"/>
    </row>
    <row r="479" spans="1:2">
      <c r="A479" s="36"/>
      <c r="B479" s="37"/>
    </row>
    <row r="480" spans="1:2">
      <c r="A480" s="36"/>
      <c r="B480" s="37"/>
    </row>
    <row r="481" spans="1:2">
      <c r="A481" s="36"/>
      <c r="B481" s="37"/>
    </row>
    <row r="482" spans="1:2">
      <c r="A482" s="36"/>
      <c r="B482" s="37"/>
    </row>
    <row r="483" spans="1:2">
      <c r="A483" s="36"/>
      <c r="B483" s="37"/>
    </row>
    <row r="484" spans="1:2">
      <c r="A484" s="36"/>
      <c r="B484" s="37"/>
    </row>
    <row r="485" spans="1:2">
      <c r="A485" s="36"/>
      <c r="B485" s="37"/>
    </row>
    <row r="486" spans="1:2">
      <c r="A486" s="36"/>
      <c r="B486" s="37"/>
    </row>
    <row r="487" spans="1:2">
      <c r="A487" s="36"/>
      <c r="B487" s="37"/>
    </row>
    <row r="488" spans="1:2">
      <c r="A488" s="36"/>
      <c r="B488" s="37"/>
    </row>
    <row r="489" spans="1:2">
      <c r="A489" s="36"/>
      <c r="B489" s="37"/>
    </row>
    <row r="490" spans="1:2">
      <c r="A490" s="36"/>
      <c r="B490" s="37"/>
    </row>
    <row r="491" spans="1:2">
      <c r="A491" s="36"/>
      <c r="B491" s="37"/>
    </row>
    <row r="492" spans="1:2">
      <c r="A492" s="36"/>
      <c r="B492" s="37"/>
    </row>
    <row r="493" spans="1:2">
      <c r="A493" s="36"/>
      <c r="B493" s="37"/>
    </row>
    <row r="494" spans="1:2">
      <c r="A494" s="36"/>
      <c r="B494" s="37"/>
    </row>
    <row r="495" spans="1:2">
      <c r="A495" s="36"/>
      <c r="B495" s="37"/>
    </row>
    <row r="496" spans="1:2">
      <c r="A496" s="36"/>
      <c r="B496" s="37"/>
    </row>
    <row r="497" spans="1:2">
      <c r="A497" s="36"/>
      <c r="B497" s="37"/>
    </row>
    <row r="498" spans="1:2">
      <c r="A498" s="36"/>
      <c r="B498" s="37"/>
    </row>
    <row r="499" spans="1:2">
      <c r="A499" s="36"/>
      <c r="B499" s="37"/>
    </row>
    <row r="500" spans="1:2">
      <c r="A500" s="36"/>
      <c r="B500" s="37"/>
    </row>
    <row r="501" spans="1:2">
      <c r="A501" s="36"/>
      <c r="B501" s="37"/>
    </row>
    <row r="502" spans="1:2">
      <c r="A502" s="36"/>
      <c r="B502" s="37"/>
    </row>
    <row r="503" spans="1:2">
      <c r="A503" s="36"/>
      <c r="B503" s="37"/>
    </row>
    <row r="504" spans="1:2">
      <c r="A504" s="36"/>
      <c r="B504" s="37"/>
    </row>
    <row r="505" spans="1:2">
      <c r="A505" s="36"/>
      <c r="B505" s="37"/>
    </row>
    <row r="506" spans="1:2">
      <c r="A506" s="36"/>
      <c r="B506" s="37"/>
    </row>
    <row r="507" spans="1:2">
      <c r="A507" s="36"/>
      <c r="B507" s="37"/>
    </row>
    <row r="508" spans="1:2">
      <c r="A508" s="36"/>
      <c r="B508" s="37"/>
    </row>
    <row r="509" spans="1:2">
      <c r="A509" s="36"/>
      <c r="B509" s="37"/>
    </row>
    <row r="510" spans="1:2">
      <c r="A510" s="36"/>
      <c r="B510" s="37"/>
    </row>
    <row r="511" spans="1:2">
      <c r="A511" s="36"/>
      <c r="B511" s="37"/>
    </row>
    <row r="512" spans="1:2">
      <c r="A512" s="36"/>
      <c r="B512" s="37"/>
    </row>
    <row r="513" spans="1:2">
      <c r="A513" s="36"/>
      <c r="B513" s="37"/>
    </row>
    <row r="514" spans="1:2">
      <c r="A514" s="36"/>
      <c r="B514" s="37"/>
    </row>
    <row r="515" spans="1:2">
      <c r="A515" s="36"/>
      <c r="B515" s="37"/>
    </row>
    <row r="516" spans="1:2">
      <c r="A516" s="36"/>
      <c r="B516" s="37"/>
    </row>
    <row r="517" spans="1:2">
      <c r="A517" s="36"/>
      <c r="B517" s="37"/>
    </row>
    <row r="518" spans="1:2">
      <c r="A518" s="36"/>
      <c r="B518" s="37"/>
    </row>
    <row r="519" spans="1:2">
      <c r="A519" s="36"/>
      <c r="B519" s="37"/>
    </row>
    <row r="520" spans="1:2">
      <c r="A520" s="36"/>
      <c r="B520" s="37"/>
    </row>
    <row r="521" spans="1:2">
      <c r="A521" s="36"/>
      <c r="B521" s="37"/>
    </row>
    <row r="522" spans="1:2">
      <c r="A522" s="36"/>
      <c r="B522" s="37"/>
    </row>
    <row r="523" spans="1:2">
      <c r="A523" s="36"/>
      <c r="B523" s="37"/>
    </row>
    <row r="524" spans="1:2">
      <c r="A524" s="36"/>
      <c r="B524" s="37"/>
    </row>
    <row r="525" spans="1:2">
      <c r="A525" s="36"/>
      <c r="B525" s="37"/>
    </row>
    <row r="526" spans="1:2">
      <c r="A526" s="36"/>
      <c r="B526" s="37"/>
    </row>
    <row r="527" spans="1:2">
      <c r="A527" s="36"/>
      <c r="B527" s="37"/>
    </row>
    <row r="528" spans="1:2">
      <c r="A528" s="36"/>
      <c r="B528" s="37"/>
    </row>
    <row r="529" spans="1:2">
      <c r="A529" s="36"/>
      <c r="B529" s="37"/>
    </row>
    <row r="530" spans="1:2">
      <c r="A530" s="36"/>
      <c r="B530" s="37"/>
    </row>
    <row r="531" spans="1:2">
      <c r="A531" s="36"/>
      <c r="B531" s="37"/>
    </row>
    <row r="532" spans="1:2">
      <c r="A532" s="36"/>
      <c r="B532" s="37"/>
    </row>
    <row r="533" spans="1:2">
      <c r="A533" s="36"/>
      <c r="B533" s="37"/>
    </row>
    <row r="534" spans="1:2">
      <c r="A534" s="36"/>
      <c r="B534" s="37"/>
    </row>
    <row r="535" spans="1:2">
      <c r="A535" s="36"/>
      <c r="B535" s="37"/>
    </row>
    <row r="536" spans="1:2">
      <c r="A536" s="36"/>
      <c r="B536" s="37"/>
    </row>
    <row r="537" spans="1:2">
      <c r="A537" s="36"/>
      <c r="B537" s="37"/>
    </row>
    <row r="538" spans="1:2">
      <c r="A538" s="36"/>
      <c r="B538" s="37"/>
    </row>
    <row r="539" spans="1:2">
      <c r="A539" s="36"/>
      <c r="B539" s="37"/>
    </row>
    <row r="540" spans="1:2">
      <c r="A540" s="36"/>
      <c r="B540" s="37"/>
    </row>
    <row r="541" spans="1:2">
      <c r="A541" s="36"/>
      <c r="B541" s="37"/>
    </row>
    <row r="542" spans="1:2">
      <c r="A542" s="36"/>
      <c r="B542" s="37"/>
    </row>
    <row r="543" spans="1:2">
      <c r="A543" s="36"/>
      <c r="B543" s="37"/>
    </row>
    <row r="544" spans="1:2">
      <c r="A544" s="36"/>
      <c r="B544" s="37"/>
    </row>
    <row r="545" spans="1:2">
      <c r="A545" s="36"/>
      <c r="B545" s="37"/>
    </row>
    <row r="546" spans="1:2">
      <c r="A546" s="36"/>
      <c r="B546" s="37"/>
    </row>
    <row r="547" spans="1:2">
      <c r="A547" s="36"/>
      <c r="B547" s="37"/>
    </row>
    <row r="548" spans="1:2">
      <c r="A548" s="36"/>
      <c r="B548" s="37"/>
    </row>
    <row r="549" spans="1:2">
      <c r="A549" s="36"/>
      <c r="B549" s="37"/>
    </row>
    <row r="550" spans="1:2">
      <c r="A550" s="36"/>
      <c r="B550" s="37"/>
    </row>
    <row r="551" spans="1:2">
      <c r="A551" s="36"/>
      <c r="B551" s="37"/>
    </row>
    <row r="552" spans="1:2">
      <c r="A552" s="36"/>
      <c r="B552" s="37"/>
    </row>
    <row r="553" spans="1:2">
      <c r="A553" s="36"/>
      <c r="B553" s="37"/>
    </row>
    <row r="554" spans="1:2">
      <c r="A554" s="36"/>
      <c r="B554" s="37"/>
    </row>
    <row r="555" spans="1:2">
      <c r="A555" s="36"/>
      <c r="B555" s="37"/>
    </row>
    <row r="556" spans="1:2">
      <c r="A556" s="36"/>
      <c r="B556" s="37"/>
    </row>
    <row r="557" spans="1:2">
      <c r="A557" s="36"/>
      <c r="B557" s="37"/>
    </row>
    <row r="558" spans="1:2">
      <c r="A558" s="36"/>
      <c r="B558" s="37"/>
    </row>
    <row r="559" spans="1:2">
      <c r="A559" s="36"/>
      <c r="B559" s="37"/>
    </row>
    <row r="560" spans="1:2">
      <c r="A560" s="36"/>
      <c r="B560" s="37"/>
    </row>
    <row r="561" spans="1:2">
      <c r="A561" s="36"/>
      <c r="B561" s="37"/>
    </row>
    <row r="562" spans="1:2">
      <c r="A562" s="36"/>
      <c r="B562" s="37"/>
    </row>
    <row r="563" spans="1:2">
      <c r="A563" s="36"/>
      <c r="B563" s="37"/>
    </row>
    <row r="564" spans="1:2">
      <c r="A564" s="36"/>
      <c r="B564" s="37"/>
    </row>
    <row r="565" spans="1:2">
      <c r="A565" s="36"/>
      <c r="B565" s="37"/>
    </row>
    <row r="566" spans="1:2">
      <c r="A566" s="36"/>
      <c r="B566" s="37"/>
    </row>
    <row r="567" spans="1:2">
      <c r="A567" s="36"/>
      <c r="B567" s="37"/>
    </row>
    <row r="568" spans="1:2">
      <c r="A568" s="36"/>
      <c r="B568" s="37"/>
    </row>
    <row r="569" spans="1:2">
      <c r="A569" s="36"/>
      <c r="B569" s="37"/>
    </row>
    <row r="570" spans="1:2">
      <c r="A570" s="36"/>
      <c r="B570" s="37"/>
    </row>
    <row r="571" spans="1:2">
      <c r="A571" s="36"/>
      <c r="B571" s="37"/>
    </row>
    <row r="572" spans="1:2">
      <c r="A572" s="36"/>
      <c r="B572" s="37"/>
    </row>
    <row r="573" spans="1:2">
      <c r="A573" s="36"/>
      <c r="B573" s="37"/>
    </row>
    <row r="574" spans="1:2">
      <c r="A574" s="36"/>
      <c r="B574" s="37"/>
    </row>
    <row r="575" spans="1:2">
      <c r="A575" s="36"/>
      <c r="B575" s="37"/>
    </row>
    <row r="576" spans="1:2">
      <c r="A576" s="36"/>
      <c r="B576" s="37"/>
    </row>
    <row r="577" spans="1:2">
      <c r="A577" s="36"/>
      <c r="B577" s="37"/>
    </row>
    <row r="578" spans="1:2">
      <c r="A578" s="36"/>
      <c r="B578" s="37"/>
    </row>
    <row r="579" spans="1:2">
      <c r="A579" s="36"/>
      <c r="B579" s="37"/>
    </row>
    <row r="580" spans="1:2">
      <c r="A580" s="36"/>
      <c r="B580" s="37"/>
    </row>
    <row r="581" spans="1:2">
      <c r="A581" s="36"/>
      <c r="B581" s="37"/>
    </row>
    <row r="582" spans="1:2">
      <c r="A582" s="36"/>
      <c r="B582" s="37"/>
    </row>
    <row r="583" spans="1:2">
      <c r="A583" s="36"/>
      <c r="B583" s="37"/>
    </row>
    <row r="584" spans="1:2">
      <c r="A584" s="36"/>
      <c r="B584" s="37"/>
    </row>
    <row r="585" spans="1:2">
      <c r="A585" s="36"/>
      <c r="B585" s="37"/>
    </row>
    <row r="586" spans="1:2">
      <c r="A586" s="36"/>
      <c r="B586" s="37"/>
    </row>
    <row r="587" spans="1:2">
      <c r="A587" s="36"/>
      <c r="B587" s="37"/>
    </row>
    <row r="588" spans="1:2">
      <c r="A588" s="36"/>
      <c r="B588" s="37"/>
    </row>
    <row r="589" spans="1:2">
      <c r="A589" s="36"/>
      <c r="B589" s="37"/>
    </row>
    <row r="590" spans="1:2">
      <c r="A590" s="36"/>
      <c r="B590" s="37"/>
    </row>
    <row r="591" spans="1:2">
      <c r="A591" s="36"/>
      <c r="B591" s="37"/>
    </row>
    <row r="592" spans="1:2">
      <c r="A592" s="36"/>
      <c r="B592" s="37"/>
    </row>
    <row r="593" spans="1:2">
      <c r="A593" s="36"/>
      <c r="B593" s="37"/>
    </row>
    <row r="594" spans="1:2">
      <c r="A594" s="36"/>
      <c r="B594" s="37"/>
    </row>
    <row r="595" spans="1:2">
      <c r="A595" s="36"/>
      <c r="B595" s="37"/>
    </row>
    <row r="596" spans="1:2">
      <c r="A596" s="36"/>
      <c r="B596" s="37"/>
    </row>
    <row r="597" spans="1:2">
      <c r="A597" s="36"/>
      <c r="B597" s="37"/>
    </row>
    <row r="598" spans="1:2">
      <c r="A598" s="36"/>
      <c r="B598" s="37"/>
    </row>
    <row r="599" spans="1:2">
      <c r="A599" s="36"/>
      <c r="B599" s="37"/>
    </row>
    <row r="600" spans="1:2">
      <c r="A600" s="36"/>
      <c r="B600" s="37"/>
    </row>
    <row r="601" spans="1:2">
      <c r="A601" s="36"/>
      <c r="B601" s="37"/>
    </row>
    <row r="602" spans="1:2">
      <c r="A602" s="36"/>
      <c r="B602" s="37"/>
    </row>
    <row r="603" spans="1:2">
      <c r="A603" s="36"/>
      <c r="B603" s="37"/>
    </row>
    <row r="604" spans="1:2">
      <c r="A604" s="36"/>
      <c r="B604" s="37"/>
    </row>
    <row r="605" spans="1:2">
      <c r="A605" s="36"/>
      <c r="B605" s="37"/>
    </row>
    <row r="606" spans="1:2">
      <c r="A606" s="36"/>
      <c r="B606" s="37"/>
    </row>
    <row r="607" spans="1:2">
      <c r="A607" s="36"/>
      <c r="B607" s="37"/>
    </row>
    <row r="608" spans="1:2">
      <c r="A608" s="36"/>
      <c r="B608" s="37"/>
    </row>
    <row r="609" spans="1:2">
      <c r="A609" s="36"/>
      <c r="B609" s="37"/>
    </row>
    <row r="610" spans="1:2">
      <c r="A610" s="36"/>
      <c r="B610" s="37"/>
    </row>
    <row r="611" spans="1:2">
      <c r="A611" s="36"/>
      <c r="B611" s="37"/>
    </row>
    <row r="612" spans="1:2">
      <c r="A612" s="36"/>
      <c r="B612" s="37"/>
    </row>
    <row r="613" spans="1:2">
      <c r="A613" s="36"/>
      <c r="B613" s="37"/>
    </row>
    <row r="614" spans="1:2">
      <c r="A614" s="36"/>
      <c r="B614" s="37"/>
    </row>
    <row r="615" spans="1:2">
      <c r="A615" s="36"/>
      <c r="B615" s="37"/>
    </row>
    <row r="616" spans="1:2">
      <c r="A616" s="36"/>
      <c r="B616" s="37"/>
    </row>
    <row r="617" spans="1:2">
      <c r="A617" s="36"/>
      <c r="B617" s="37"/>
    </row>
    <row r="618" spans="1:2">
      <c r="A618" s="36"/>
      <c r="B618" s="37"/>
    </row>
    <row r="619" spans="1:2">
      <c r="A619" s="36"/>
      <c r="B619" s="37"/>
    </row>
    <row r="620" spans="1:2">
      <c r="A620" s="36"/>
      <c r="B620" s="37"/>
    </row>
    <row r="621" spans="1:2">
      <c r="A621" s="36"/>
      <c r="B621" s="37"/>
    </row>
    <row r="622" spans="1:2">
      <c r="A622" s="36"/>
      <c r="B622" s="37"/>
    </row>
    <row r="623" spans="1:2">
      <c r="A623" s="36"/>
      <c r="B623" s="37"/>
    </row>
    <row r="624" spans="1:2">
      <c r="A624" s="36"/>
      <c r="B624" s="37"/>
    </row>
    <row r="625" spans="1:2">
      <c r="A625" s="36"/>
      <c r="B625" s="37"/>
    </row>
    <row r="626" spans="1:2">
      <c r="A626" s="36"/>
      <c r="B626" s="37"/>
    </row>
    <row r="627" spans="1:2">
      <c r="A627" s="36"/>
      <c r="B627" s="37"/>
    </row>
    <row r="628" spans="1:2">
      <c r="A628" s="36"/>
      <c r="B628" s="37"/>
    </row>
    <row r="629" spans="1:2">
      <c r="A629" s="36"/>
      <c r="B629" s="37"/>
    </row>
    <row r="630" spans="1:2">
      <c r="A630" s="36"/>
      <c r="B630" s="37"/>
    </row>
    <row r="631" spans="1:2">
      <c r="A631" s="36"/>
      <c r="B631" s="37"/>
    </row>
    <row r="632" spans="1:2">
      <c r="A632" s="36"/>
      <c r="B632" s="37"/>
    </row>
    <row r="633" spans="1:2">
      <c r="A633" s="36"/>
      <c r="B633" s="37"/>
    </row>
    <row r="634" spans="1:2">
      <c r="A634" s="36"/>
      <c r="B634" s="37"/>
    </row>
    <row r="635" spans="1:2">
      <c r="A635" s="36"/>
      <c r="B635" s="37"/>
    </row>
    <row r="636" spans="1:2">
      <c r="A636" s="36"/>
      <c r="B636" s="37"/>
    </row>
    <row r="637" spans="1:2">
      <c r="A637" s="36"/>
      <c r="B637" s="37"/>
    </row>
    <row r="638" spans="1:2">
      <c r="A638" s="36"/>
      <c r="B638" s="37"/>
    </row>
    <row r="639" spans="1:2">
      <c r="A639" s="36"/>
      <c r="B639" s="37"/>
    </row>
    <row r="640" spans="1:2">
      <c r="A640" s="36"/>
      <c r="B640" s="37"/>
    </row>
    <row r="641" spans="1:2">
      <c r="A641" s="36"/>
      <c r="B641" s="37"/>
    </row>
    <row r="642" spans="1:2">
      <c r="A642" s="36"/>
      <c r="B642" s="37"/>
    </row>
    <row r="643" spans="1:2">
      <c r="A643" s="36"/>
      <c r="B643" s="37"/>
    </row>
    <row r="644" spans="1:2">
      <c r="A644" s="36"/>
      <c r="B644" s="37"/>
    </row>
    <row r="645" spans="1:2">
      <c r="A645" s="36"/>
      <c r="B645" s="37"/>
    </row>
    <row r="646" spans="1:2">
      <c r="A646" s="36"/>
      <c r="B646" s="37"/>
    </row>
    <row r="647" spans="1:2">
      <c r="A647" s="36"/>
      <c r="B647" s="37"/>
    </row>
    <row r="648" spans="1:2">
      <c r="A648" s="36"/>
      <c r="B648" s="37"/>
    </row>
    <row r="649" spans="1:2">
      <c r="A649" s="36"/>
      <c r="B649" s="37"/>
    </row>
    <row r="650" spans="1:2">
      <c r="A650" s="36"/>
      <c r="B650" s="37"/>
    </row>
    <row r="651" spans="1:2">
      <c r="A651" s="36"/>
      <c r="B651" s="37"/>
    </row>
    <row r="652" spans="1:2">
      <c r="A652" s="36"/>
      <c r="B652" s="37"/>
    </row>
    <row r="653" spans="1:2">
      <c r="A653" s="36"/>
      <c r="B653" s="37"/>
    </row>
    <row r="654" spans="1:2">
      <c r="A654" s="36"/>
      <c r="B654" s="37"/>
    </row>
    <row r="655" spans="1:2">
      <c r="A655" s="36"/>
      <c r="B655" s="37"/>
    </row>
    <row r="656" spans="1:2">
      <c r="A656" s="36"/>
      <c r="B656" s="37"/>
    </row>
    <row r="657" spans="1:2">
      <c r="A657" s="36"/>
      <c r="B657" s="37"/>
    </row>
    <row r="658" spans="1:2">
      <c r="A658" s="36"/>
      <c r="B658" s="37"/>
    </row>
    <row r="659" spans="1:2">
      <c r="A659" s="36"/>
      <c r="B659" s="37"/>
    </row>
    <row r="660" spans="1:2">
      <c r="A660" s="36"/>
      <c r="B660" s="37"/>
    </row>
    <row r="661" spans="1:2">
      <c r="A661" s="36"/>
      <c r="B661" s="37"/>
    </row>
    <row r="662" spans="1:2">
      <c r="A662" s="36"/>
      <c r="B662" s="37"/>
    </row>
    <row r="663" spans="1:2">
      <c r="A663" s="36"/>
      <c r="B663" s="37"/>
    </row>
    <row r="664" spans="1:2">
      <c r="A664" s="36"/>
      <c r="B664" s="37"/>
    </row>
    <row r="665" spans="1:2">
      <c r="A665" s="36"/>
      <c r="B665" s="37"/>
    </row>
    <row r="666" spans="1:2">
      <c r="A666" s="36"/>
      <c r="B666" s="37"/>
    </row>
    <row r="667" spans="1:2">
      <c r="A667" s="36"/>
      <c r="B667" s="37"/>
    </row>
    <row r="668" spans="1:2">
      <c r="A668" s="36"/>
      <c r="B668" s="37"/>
    </row>
    <row r="669" spans="1:2">
      <c r="A669" s="36"/>
      <c r="B669" s="37"/>
    </row>
    <row r="670" spans="1:2">
      <c r="A670" s="36"/>
      <c r="B670" s="37"/>
    </row>
    <row r="671" spans="1:2">
      <c r="A671" s="36"/>
      <c r="B671" s="37"/>
    </row>
    <row r="672" spans="1:2">
      <c r="A672" s="36"/>
      <c r="B672" s="37"/>
    </row>
    <row r="673" spans="1:2">
      <c r="A673" s="36"/>
      <c r="B673" s="37"/>
    </row>
    <row r="674" spans="1:2">
      <c r="A674" s="36"/>
      <c r="B674" s="37"/>
    </row>
    <row r="675" spans="1:2">
      <c r="A675" s="36"/>
      <c r="B675" s="37"/>
    </row>
    <row r="676" spans="1:2">
      <c r="A676" s="36"/>
      <c r="B676" s="37"/>
    </row>
    <row r="677" spans="1:2">
      <c r="A677" s="36"/>
      <c r="B677" s="37"/>
    </row>
    <row r="678" spans="1:2">
      <c r="A678" s="36"/>
      <c r="B678" s="37"/>
    </row>
    <row r="679" spans="1:2">
      <c r="A679" s="36"/>
      <c r="B679" s="37"/>
    </row>
    <row r="680" spans="1:2">
      <c r="A680" s="36"/>
      <c r="B680" s="37"/>
    </row>
    <row r="681" spans="1:2">
      <c r="A681" s="36"/>
      <c r="B681" s="37"/>
    </row>
    <row r="682" spans="1:2">
      <c r="A682" s="36"/>
      <c r="B682" s="37"/>
    </row>
    <row r="683" spans="1:2">
      <c r="A683" s="36"/>
      <c r="B683" s="37"/>
    </row>
    <row r="684" spans="1:2">
      <c r="A684" s="36"/>
      <c r="B684" s="37"/>
    </row>
    <row r="685" spans="1:2">
      <c r="A685" s="36"/>
      <c r="B685" s="37"/>
    </row>
    <row r="686" spans="1:2">
      <c r="A686" s="36"/>
      <c r="B686" s="37"/>
    </row>
    <row r="687" spans="1:2">
      <c r="A687" s="36"/>
      <c r="B687" s="37"/>
    </row>
    <row r="688" spans="1:2">
      <c r="A688" s="36"/>
      <c r="B688" s="37"/>
    </row>
    <row r="689" spans="1:2">
      <c r="A689" s="36"/>
      <c r="B689" s="37"/>
    </row>
    <row r="690" spans="1:2">
      <c r="A690" s="36"/>
      <c r="B690" s="37"/>
    </row>
    <row r="691" spans="1:2">
      <c r="A691" s="36"/>
      <c r="B691" s="37"/>
    </row>
    <row r="692" spans="1:2">
      <c r="A692" s="36"/>
      <c r="B692" s="37"/>
    </row>
    <row r="693" spans="1:2">
      <c r="A693" s="36"/>
      <c r="B693" s="37"/>
    </row>
    <row r="694" spans="1:2">
      <c r="A694" s="36"/>
      <c r="B694" s="37"/>
    </row>
    <row r="695" spans="1:2">
      <c r="A695" s="36"/>
      <c r="B695" s="37"/>
    </row>
    <row r="696" spans="1:2">
      <c r="A696" s="36"/>
      <c r="B696" s="37"/>
    </row>
    <row r="697" spans="1:2">
      <c r="A697" s="36"/>
      <c r="B697" s="37"/>
    </row>
    <row r="698" spans="1:2">
      <c r="A698" s="36"/>
      <c r="B698" s="37"/>
    </row>
    <row r="699" spans="1:2">
      <c r="A699" s="36"/>
      <c r="B699" s="37"/>
    </row>
    <row r="700" spans="1:2">
      <c r="A700" s="36"/>
      <c r="B700" s="37"/>
    </row>
    <row r="701" spans="1:2">
      <c r="A701" s="36"/>
      <c r="B701" s="37"/>
    </row>
    <row r="702" spans="1:2">
      <c r="A702" s="36"/>
      <c r="B702" s="37"/>
    </row>
    <row r="703" spans="1:2">
      <c r="A703" s="36"/>
      <c r="B703" s="37"/>
    </row>
    <row r="704" spans="1:2">
      <c r="A704" s="36"/>
      <c r="B704" s="37"/>
    </row>
    <row r="705" spans="1:2">
      <c r="A705" s="36"/>
      <c r="B705" s="37"/>
    </row>
    <row r="706" spans="1:2">
      <c r="A706" s="36"/>
      <c r="B706" s="37"/>
    </row>
    <row r="707" spans="1:2">
      <c r="A707" s="36"/>
      <c r="B707" s="37"/>
    </row>
    <row r="708" spans="1:2">
      <c r="A708" s="36"/>
      <c r="B708" s="37"/>
    </row>
    <row r="709" spans="1:2">
      <c r="A709" s="36"/>
      <c r="B709" s="37"/>
    </row>
    <row r="710" spans="1:2">
      <c r="A710" s="36"/>
      <c r="B710" s="37"/>
    </row>
    <row r="711" spans="1:2">
      <c r="A711" s="36"/>
      <c r="B711" s="37"/>
    </row>
    <row r="712" spans="1:2">
      <c r="A712" s="36"/>
      <c r="B712" s="37"/>
    </row>
    <row r="713" spans="1:2">
      <c r="A713" s="36"/>
      <c r="B713" s="37"/>
    </row>
    <row r="714" spans="1:2">
      <c r="A714" s="36"/>
      <c r="B714" s="37"/>
    </row>
    <row r="715" spans="1:2">
      <c r="A715" s="36"/>
      <c r="B715" s="37"/>
    </row>
    <row r="716" spans="1:2">
      <c r="A716" s="36"/>
      <c r="B716" s="37"/>
    </row>
    <row r="717" spans="1:2">
      <c r="A717" s="36"/>
      <c r="B717" s="37"/>
    </row>
    <row r="718" spans="1:2">
      <c r="A718" s="36"/>
      <c r="B718" s="37"/>
    </row>
    <row r="719" spans="1:2">
      <c r="A719" s="36"/>
      <c r="B719" s="37"/>
    </row>
    <row r="720" spans="1:2">
      <c r="A720" s="36"/>
      <c r="B720" s="37"/>
    </row>
    <row r="721" spans="1:2">
      <c r="A721" s="36"/>
      <c r="B721" s="37"/>
    </row>
    <row r="722" spans="1:2">
      <c r="A722" s="36"/>
      <c r="B722" s="37"/>
    </row>
    <row r="723" spans="1:2">
      <c r="A723" s="36"/>
      <c r="B723" s="37"/>
    </row>
    <row r="724" spans="1:2">
      <c r="A724" s="36"/>
      <c r="B724" s="37"/>
    </row>
    <row r="725" spans="1:2">
      <c r="A725" s="36"/>
      <c r="B725" s="37"/>
    </row>
    <row r="726" spans="1:2">
      <c r="A726" s="36"/>
      <c r="B726" s="37"/>
    </row>
    <row r="727" spans="1:2">
      <c r="A727" s="36"/>
      <c r="B727" s="37"/>
    </row>
    <row r="728" spans="1:2">
      <c r="A728" s="36"/>
      <c r="B728" s="37"/>
    </row>
    <row r="729" spans="1:2">
      <c r="A729" s="36"/>
      <c r="B729" s="37"/>
    </row>
    <row r="730" spans="1:2">
      <c r="A730" s="36"/>
      <c r="B730" s="37"/>
    </row>
    <row r="731" spans="1:2">
      <c r="A731" s="36"/>
      <c r="B731" s="37"/>
    </row>
    <row r="732" spans="1:2">
      <c r="A732" s="36"/>
      <c r="B732" s="37"/>
    </row>
    <row r="733" spans="1:2">
      <c r="A733" s="36"/>
      <c r="B733" s="37"/>
    </row>
    <row r="734" spans="1:2">
      <c r="A734" s="36"/>
      <c r="B734" s="37"/>
    </row>
    <row r="735" spans="1:2">
      <c r="A735" s="36"/>
      <c r="B735" s="37"/>
    </row>
    <row r="736" spans="1:2">
      <c r="A736" s="36"/>
      <c r="B736" s="37"/>
    </row>
    <row r="737" spans="1:2">
      <c r="A737" s="36"/>
      <c r="B737" s="37"/>
    </row>
    <row r="738" spans="1:2">
      <c r="A738" s="36"/>
      <c r="B738" s="37"/>
    </row>
    <row r="739" spans="1:2">
      <c r="A739" s="36"/>
      <c r="B739" s="37"/>
    </row>
    <row r="740" spans="1:2">
      <c r="A740" s="36"/>
      <c r="B740" s="37"/>
    </row>
    <row r="741" spans="1:2">
      <c r="A741" s="36"/>
      <c r="B741" s="37"/>
    </row>
    <row r="742" spans="1:2">
      <c r="A742" s="36"/>
      <c r="B742" s="37"/>
    </row>
    <row r="743" spans="1:2">
      <c r="A743" s="36"/>
      <c r="B743" s="37"/>
    </row>
    <row r="744" spans="1:2">
      <c r="A744" s="36"/>
      <c r="B744" s="37"/>
    </row>
    <row r="745" spans="1:2">
      <c r="A745" s="36"/>
      <c r="B745" s="37"/>
    </row>
    <row r="746" spans="1:2">
      <c r="A746" s="36"/>
      <c r="B746" s="37"/>
    </row>
    <row r="747" spans="1:2">
      <c r="A747" s="36"/>
      <c r="B747" s="37"/>
    </row>
    <row r="748" spans="1:2">
      <c r="A748" s="36"/>
      <c r="B748" s="37"/>
    </row>
    <row r="749" spans="1:2">
      <c r="A749" s="36"/>
      <c r="B749" s="37"/>
    </row>
    <row r="750" spans="1:2">
      <c r="A750" s="36"/>
      <c r="B750" s="37"/>
    </row>
    <row r="751" spans="1:2">
      <c r="A751" s="36"/>
      <c r="B751" s="37"/>
    </row>
    <row r="752" spans="1:2">
      <c r="A752" s="36"/>
      <c r="B752" s="37"/>
    </row>
    <row r="753" spans="1:2">
      <c r="A753" s="36"/>
      <c r="B753" s="37"/>
    </row>
    <row r="754" spans="1:2">
      <c r="A754" s="36"/>
      <c r="B754" s="37"/>
    </row>
    <row r="755" spans="1:2">
      <c r="A755" s="36"/>
      <c r="B755" s="37"/>
    </row>
    <row r="756" spans="1:2">
      <c r="A756" s="36"/>
      <c r="B756" s="37"/>
    </row>
    <row r="757" spans="1:2">
      <c r="A757" s="36"/>
      <c r="B757" s="37"/>
    </row>
    <row r="758" spans="1:2">
      <c r="A758" s="36"/>
      <c r="B758" s="37"/>
    </row>
    <row r="759" spans="1:2">
      <c r="A759" s="36"/>
      <c r="B759" s="37"/>
    </row>
    <row r="760" spans="1:2">
      <c r="A760" s="36"/>
      <c r="B760" s="37"/>
    </row>
    <row r="761" spans="1:2">
      <c r="A761" s="36"/>
      <c r="B761" s="37"/>
    </row>
    <row r="762" spans="1:2">
      <c r="A762" s="36"/>
      <c r="B762" s="37"/>
    </row>
    <row r="763" spans="1:2">
      <c r="A763" s="36"/>
      <c r="B763" s="37"/>
    </row>
    <row r="764" spans="1:2">
      <c r="A764" s="36"/>
      <c r="B764" s="37"/>
    </row>
    <row r="765" spans="1:2">
      <c r="A765" s="36"/>
      <c r="B765" s="37"/>
    </row>
    <row r="766" spans="1:2">
      <c r="A766" s="36"/>
      <c r="B766" s="37"/>
    </row>
    <row r="767" spans="1:2">
      <c r="A767" s="36"/>
      <c r="B767" s="37"/>
    </row>
  </sheetData>
  <sheetProtection formatCells="0" formatColumns="0" formatRows="0" insertColumns="0" insertRows="0" insertHyperlinks="0" deleteColumns="0" deleteRows="0" sort="0" autoFilter="0" pivotTables="0"/>
  <protectedRanges>
    <protectedRange sqref="K2" name="Диапазон1"/>
  </protectedRanges>
  <autoFilter ref="A1:B1" xr:uid="{00000000-0001-0000-0700-000000000000}"/>
  <phoneticPr fontId="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8"/>
  <dimension ref="A1:L398"/>
  <sheetViews>
    <sheetView workbookViewId="0">
      <selection activeCell="K2" sqref="K2"/>
    </sheetView>
  </sheetViews>
  <sheetFormatPr defaultColWidth="9.109375" defaultRowHeight="14.4"/>
  <cols>
    <col min="1" max="16384" width="9.109375" style="2"/>
  </cols>
  <sheetData>
    <row r="1" spans="1:12" ht="15" thickBo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1"/>
    </row>
    <row r="2" spans="1:12" ht="15" thickBot="1">
      <c r="A2" s="16"/>
      <c r="B2" s="9"/>
      <c r="C2" s="9"/>
      <c r="D2" s="9"/>
      <c r="E2" s="9"/>
      <c r="F2" s="9"/>
      <c r="G2" s="9"/>
      <c r="H2" s="9"/>
      <c r="I2" s="9"/>
      <c r="J2" s="9"/>
      <c r="K2" s="16">
        <f ca="1">IF(A2&gt;0,K2+A2,K2)</f>
        <v>0</v>
      </c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9"/>
      <c r="L3" s="1"/>
    </row>
    <row r="4" spans="1:12">
      <c r="A4" s="1"/>
      <c r="B4" s="1"/>
      <c r="C4" s="1"/>
      <c r="D4" s="1"/>
      <c r="E4" s="3" t="s">
        <v>102</v>
      </c>
      <c r="F4" s="1"/>
      <c r="G4" s="1"/>
      <c r="H4" s="1"/>
      <c r="I4" s="1"/>
      <c r="J4" s="1"/>
      <c r="K4" s="9"/>
      <c r="L4" s="1"/>
    </row>
    <row r="5" spans="1:12">
      <c r="A5" s="1"/>
      <c r="B5" s="1"/>
      <c r="C5" s="1"/>
      <c r="D5" s="1"/>
      <c r="E5" s="3" t="s">
        <v>103</v>
      </c>
      <c r="F5" s="1"/>
      <c r="G5" s="1"/>
      <c r="H5" s="1"/>
      <c r="I5" s="1"/>
      <c r="J5" s="1"/>
      <c r="K5" s="9"/>
      <c r="L5" s="1"/>
    </row>
    <row r="6" spans="1:12">
      <c r="A6" s="1"/>
      <c r="B6" s="1"/>
      <c r="C6" s="1"/>
      <c r="D6" s="1"/>
      <c r="E6" s="3" t="s">
        <v>104</v>
      </c>
      <c r="F6" s="1"/>
      <c r="G6" s="1"/>
      <c r="H6" s="1"/>
      <c r="I6" s="1"/>
      <c r="J6" s="1"/>
      <c r="K6" s="9"/>
      <c r="L6" s="1"/>
    </row>
    <row r="7" spans="1:12">
      <c r="A7" s="1"/>
      <c r="B7" s="1"/>
      <c r="C7" s="1"/>
      <c r="D7" s="1"/>
      <c r="E7" s="3" t="s">
        <v>105</v>
      </c>
      <c r="F7" s="1"/>
      <c r="G7" s="1"/>
      <c r="H7" s="1"/>
      <c r="I7" s="1"/>
      <c r="J7" s="1"/>
      <c r="K7" s="9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9"/>
      <c r="L8" s="1"/>
    </row>
    <row r="9" spans="1:12" ht="15.6">
      <c r="A9" s="1"/>
      <c r="B9" s="1"/>
      <c r="C9" s="1"/>
      <c r="D9" s="1"/>
      <c r="E9" s="7" t="s">
        <v>139</v>
      </c>
      <c r="F9" s="1"/>
      <c r="G9" s="1"/>
      <c r="H9" s="1"/>
      <c r="I9" s="1"/>
      <c r="J9" s="1"/>
      <c r="K9" s="9"/>
      <c r="L9" s="1"/>
    </row>
    <row r="10" spans="1:12">
      <c r="A10" s="1"/>
      <c r="B10" s="1"/>
      <c r="C10" s="1"/>
      <c r="D10" s="1"/>
      <c r="E10" s="3" t="s">
        <v>106</v>
      </c>
      <c r="F10" s="1"/>
      <c r="G10" s="1"/>
      <c r="H10" s="1"/>
      <c r="I10" s="1"/>
      <c r="J10" s="1"/>
      <c r="K10" s="9"/>
      <c r="L10" s="1"/>
    </row>
    <row r="11" spans="1:12">
      <c r="A11" s="1"/>
      <c r="B11" s="1"/>
      <c r="C11" s="1"/>
      <c r="D11" s="1"/>
      <c r="E11" s="3" t="s">
        <v>107</v>
      </c>
      <c r="F11" s="1"/>
      <c r="G11" s="1"/>
      <c r="H11" s="1"/>
      <c r="I11" s="1"/>
      <c r="J11" s="1"/>
      <c r="K11" s="9"/>
      <c r="L11" s="1"/>
    </row>
    <row r="12" spans="1:12">
      <c r="A12" s="1"/>
      <c r="B12" s="1"/>
      <c r="C12" s="1"/>
      <c r="D12" s="1"/>
      <c r="E12" s="3" t="s">
        <v>108</v>
      </c>
      <c r="F12" s="1"/>
      <c r="G12" s="1"/>
      <c r="H12" s="1"/>
      <c r="I12" s="1"/>
      <c r="J12" s="1"/>
      <c r="K12" s="9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9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9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9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9"/>
      <c r="L16" s="1"/>
    </row>
    <row r="17" spans="10:11">
      <c r="J17" s="1"/>
      <c r="K17" s="9"/>
    </row>
    <row r="18" spans="10:11">
      <c r="J18" s="1"/>
      <c r="K18" s="9"/>
    </row>
    <row r="19" spans="10:11">
      <c r="J19" s="1"/>
      <c r="K19" s="9"/>
    </row>
    <row r="20" spans="10:11">
      <c r="J20" s="3"/>
      <c r="K20" s="8"/>
    </row>
    <row r="392" spans="11:11">
      <c r="K392" s="38"/>
    </row>
    <row r="393" spans="11:11">
      <c r="K393" s="38"/>
    </row>
    <row r="394" spans="11:11">
      <c r="K394" s="38"/>
    </row>
    <row r="395" spans="11:11">
      <c r="K395" s="39">
        <v>0.866689814814815</v>
      </c>
    </row>
    <row r="396" spans="11:11">
      <c r="K396" s="40"/>
    </row>
    <row r="397" spans="11:11">
      <c r="K397" s="40" t="s">
        <v>109</v>
      </c>
    </row>
    <row r="398" spans="11:11">
      <c r="K398" s="38"/>
    </row>
  </sheetData>
  <sheetProtection formatCells="0" formatColumns="0" formatRows="0" insertColumns="0" insertRows="0" insertHyperlinks="0" deleteColumns="0" deleteRows="0" sort="0" autoFilter="0" pivotTables="0"/>
  <protectedRanges>
    <protectedRange sqref="A2" name="Диапазон2"/>
    <protectedRange sqref="K2" name="Диапазон1"/>
  </protectedRanges>
  <phoneticPr fontId="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9"/>
  <dimension ref="A1:AJ13"/>
  <sheetViews>
    <sheetView workbookViewId="0"/>
  </sheetViews>
  <sheetFormatPr defaultColWidth="9.109375" defaultRowHeight="14.4"/>
  <cols>
    <col min="1" max="16384" width="9.109375" style="2"/>
  </cols>
  <sheetData>
    <row r="1" spans="1:36">
      <c r="A1" s="6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1:3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5" spans="1:36">
      <c r="A5" s="1"/>
      <c r="B5" s="3" t="s">
        <v>131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>
      <c r="A6" s="1"/>
      <c r="B6" s="3" t="s">
        <v>132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8" spans="1:36" ht="15.6">
      <c r="A8" s="1"/>
      <c r="B8" s="7" t="s">
        <v>77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>
      <c r="B9" s="3" t="s">
        <v>246</v>
      </c>
      <c r="C9" s="1"/>
      <c r="D9" s="1"/>
      <c r="E9" s="1"/>
      <c r="F9" s="1"/>
      <c r="G9" s="1"/>
      <c r="H9" s="1"/>
      <c r="I9" s="1"/>
      <c r="J9" s="1"/>
      <c r="K9" s="1"/>
    </row>
    <row r="10" spans="1:36">
      <c r="B10" s="3" t="s">
        <v>247</v>
      </c>
      <c r="C10" s="1"/>
      <c r="D10" s="1"/>
      <c r="E10" s="1"/>
      <c r="F10" s="1"/>
      <c r="G10" s="1"/>
      <c r="H10" s="1"/>
      <c r="I10" s="1"/>
      <c r="J10" s="1"/>
      <c r="K10" s="1"/>
    </row>
    <row r="11" spans="1:36">
      <c r="B11" s="3" t="s">
        <v>255</v>
      </c>
      <c r="C11" s="1"/>
      <c r="D11" s="1"/>
      <c r="E11" s="1"/>
      <c r="F11" s="1"/>
      <c r="G11" s="1"/>
      <c r="H11" s="1"/>
      <c r="I11" s="1"/>
      <c r="J11" s="1"/>
      <c r="K11" s="1"/>
    </row>
    <row r="12" spans="1:36">
      <c r="B12" s="3" t="s">
        <v>256</v>
      </c>
      <c r="C12" s="1"/>
      <c r="D12" s="1"/>
      <c r="E12" s="1"/>
      <c r="F12" s="1"/>
      <c r="G12" s="1"/>
      <c r="H12" s="1"/>
      <c r="I12" s="1"/>
      <c r="J12" s="1"/>
      <c r="K12" s="4"/>
    </row>
    <row r="13" spans="1:36">
      <c r="B13" s="3"/>
      <c r="C13" s="1"/>
      <c r="D13" s="1"/>
      <c r="E13" s="1"/>
      <c r="F13" s="1"/>
      <c r="G13" s="1"/>
      <c r="H13" s="1"/>
      <c r="I13" s="1"/>
      <c r="J13" s="1"/>
      <c r="K13" s="1"/>
    </row>
  </sheetData>
  <sheetProtection sort="0" autoFilter="0" pivotTables="0"/>
  <protectedRanges>
    <protectedRange sqref="A1" name="Диапазон1"/>
  </protectedRanges>
  <phoneticPr fontId="0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0"/>
  <dimension ref="B3:K21"/>
  <sheetViews>
    <sheetView workbookViewId="0">
      <selection activeCell="C15" sqref="C15"/>
    </sheetView>
  </sheetViews>
  <sheetFormatPr defaultColWidth="9.109375" defaultRowHeight="14.4"/>
  <cols>
    <col min="1" max="16384" width="9.109375" style="2"/>
  </cols>
  <sheetData>
    <row r="3" spans="2:2">
      <c r="B3" s="3" t="s">
        <v>133</v>
      </c>
    </row>
    <row r="4" spans="2:2">
      <c r="B4" s="3" t="s">
        <v>134</v>
      </c>
    </row>
    <row r="5" spans="2:2">
      <c r="B5" s="3" t="s">
        <v>135</v>
      </c>
    </row>
    <row r="6" spans="2:2">
      <c r="B6" s="3" t="s">
        <v>136</v>
      </c>
    </row>
    <row r="7" spans="2:2">
      <c r="B7" s="3" t="s">
        <v>137</v>
      </c>
    </row>
    <row r="9" spans="2:2" ht="15.6">
      <c r="B9" s="7" t="s">
        <v>248</v>
      </c>
    </row>
    <row r="11" spans="2:2">
      <c r="B11" s="3" t="s">
        <v>138</v>
      </c>
    </row>
    <row r="17" spans="2:11">
      <c r="B17" s="3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3"/>
      <c r="C18" s="1"/>
      <c r="D18" s="1"/>
      <c r="E18" s="1"/>
      <c r="F18" s="1"/>
      <c r="G18" s="1"/>
      <c r="H18" s="1"/>
      <c r="I18" s="1"/>
      <c r="J18" s="1"/>
      <c r="K18" s="1"/>
    </row>
    <row r="19" spans="2:11">
      <c r="B19" s="3"/>
      <c r="C19" s="1"/>
      <c r="D19" s="1"/>
      <c r="E19" s="1"/>
      <c r="F19" s="1"/>
      <c r="G19" s="1"/>
      <c r="H19" s="1"/>
      <c r="I19" s="1"/>
      <c r="J19" s="1"/>
      <c r="K19" s="1"/>
    </row>
    <row r="20" spans="2:11">
      <c r="B20" s="3"/>
      <c r="C20" s="1"/>
      <c r="D20" s="1"/>
      <c r="E20" s="1"/>
      <c r="F20" s="1"/>
      <c r="G20" s="1"/>
      <c r="H20" s="1"/>
      <c r="I20" s="1"/>
      <c r="J20" s="1"/>
      <c r="K20" s="4"/>
    </row>
    <row r="21" spans="2:11">
      <c r="B21" s="3"/>
      <c r="C21" s="1"/>
      <c r="D21" s="1"/>
      <c r="E21" s="1"/>
      <c r="F21" s="1"/>
      <c r="G21" s="1"/>
      <c r="H21" s="1"/>
      <c r="I21" s="1"/>
      <c r="J21" s="1"/>
      <c r="K21" s="1"/>
    </row>
  </sheetData>
  <phoneticPr fontId="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1"/>
  <dimension ref="A1:K26"/>
  <sheetViews>
    <sheetView workbookViewId="0">
      <selection activeCell="D2" sqref="D2"/>
    </sheetView>
  </sheetViews>
  <sheetFormatPr defaultColWidth="9.109375" defaultRowHeight="14.4"/>
  <cols>
    <col min="1" max="1" width="8.6640625" style="2" customWidth="1"/>
    <col min="2" max="2" width="10.109375" style="2" customWidth="1"/>
    <col min="3" max="16384" width="9.109375" style="2"/>
  </cols>
  <sheetData>
    <row r="1" spans="1:4" ht="15" thickBot="1">
      <c r="A1" s="1">
        <v>89</v>
      </c>
      <c r="B1" s="48" t="b">
        <f>ISNUMBER(A1)</f>
        <v>1</v>
      </c>
      <c r="C1" s="1"/>
      <c r="D1" s="16">
        <f>COUNTIF(B1:B24,FALSE)</f>
        <v>4</v>
      </c>
    </row>
    <row r="2" spans="1:4" ht="15" thickBot="1">
      <c r="A2" s="1">
        <v>78</v>
      </c>
      <c r="B2" s="48" t="b">
        <f t="shared" ref="B2:B24" si="0">ISNUMBER(A2)</f>
        <v>1</v>
      </c>
      <c r="C2" s="1"/>
      <c r="D2" s="1"/>
    </row>
    <row r="3" spans="1:4" ht="15" thickBot="1">
      <c r="A3" s="14" t="s">
        <v>140</v>
      </c>
      <c r="B3" s="48" t="b">
        <f t="shared" si="0"/>
        <v>0</v>
      </c>
      <c r="C3" s="1"/>
      <c r="D3" s="1"/>
    </row>
    <row r="4" spans="1:4" ht="16.2" thickBot="1">
      <c r="A4" s="1">
        <v>29</v>
      </c>
      <c r="B4" s="48" t="b">
        <f t="shared" si="0"/>
        <v>1</v>
      </c>
      <c r="C4" s="1"/>
      <c r="D4" s="7" t="s">
        <v>93</v>
      </c>
    </row>
    <row r="5" spans="1:4" ht="15" thickBot="1">
      <c r="A5" s="1">
        <v>181</v>
      </c>
      <c r="B5" s="48" t="b">
        <f t="shared" si="0"/>
        <v>1</v>
      </c>
      <c r="C5" s="1"/>
      <c r="D5" s="3" t="s">
        <v>141</v>
      </c>
    </row>
    <row r="6" spans="1:4" ht="15" thickBot="1">
      <c r="A6" s="1">
        <v>62</v>
      </c>
      <c r="B6" s="48" t="b">
        <f t="shared" si="0"/>
        <v>1</v>
      </c>
      <c r="C6" s="1"/>
      <c r="D6" s="3" t="s">
        <v>142</v>
      </c>
    </row>
    <row r="7" spans="1:4" ht="15" thickBot="1">
      <c r="A7" s="1">
        <v>115</v>
      </c>
      <c r="B7" s="48" t="b">
        <f t="shared" si="0"/>
        <v>1</v>
      </c>
      <c r="C7" s="1"/>
      <c r="D7" s="3" t="s">
        <v>143</v>
      </c>
    </row>
    <row r="8" spans="1:4" ht="15" thickBot="1">
      <c r="A8" s="1">
        <v>80</v>
      </c>
      <c r="B8" s="48" t="b">
        <f t="shared" si="0"/>
        <v>1</v>
      </c>
      <c r="C8" s="1"/>
      <c r="D8" s="3" t="s">
        <v>144</v>
      </c>
    </row>
    <row r="9" spans="1:4" ht="15" thickBot="1">
      <c r="A9" s="1">
        <v>209</v>
      </c>
      <c r="B9" s="48" t="b">
        <f t="shared" si="0"/>
        <v>1</v>
      </c>
      <c r="C9" s="1"/>
      <c r="D9" s="3" t="s">
        <v>145</v>
      </c>
    </row>
    <row r="10" spans="1:4" ht="15" thickBot="1">
      <c r="A10" s="1">
        <v>35</v>
      </c>
      <c r="B10" s="48" t="b">
        <f t="shared" si="0"/>
        <v>1</v>
      </c>
      <c r="C10" s="1"/>
      <c r="D10" s="3"/>
    </row>
    <row r="11" spans="1:4" ht="15" thickBot="1">
      <c r="A11" s="14">
        <v>320</v>
      </c>
      <c r="B11" s="48" t="b">
        <f t="shared" si="0"/>
        <v>1</v>
      </c>
      <c r="C11" s="1"/>
      <c r="D11" s="3" t="s">
        <v>146</v>
      </c>
    </row>
    <row r="12" spans="1:4" ht="15" thickBot="1">
      <c r="A12" s="1">
        <v>141</v>
      </c>
      <c r="B12" s="48" t="b">
        <f t="shared" si="0"/>
        <v>1</v>
      </c>
      <c r="C12" s="1"/>
      <c r="D12" s="3" t="s">
        <v>147</v>
      </c>
    </row>
    <row r="13" spans="1:4" ht="15" thickBot="1">
      <c r="A13" s="1">
        <v>263</v>
      </c>
      <c r="B13" s="48" t="b">
        <f t="shared" si="0"/>
        <v>1</v>
      </c>
      <c r="C13" s="1"/>
      <c r="D13" s="3" t="s">
        <v>148</v>
      </c>
    </row>
    <row r="14" spans="1:4" ht="15" thickBot="1">
      <c r="A14" s="1">
        <v>0</v>
      </c>
      <c r="B14" s="48" t="b">
        <f t="shared" si="0"/>
        <v>1</v>
      </c>
      <c r="C14" s="1"/>
      <c r="D14" s="1"/>
    </row>
    <row r="15" spans="1:4" ht="15" thickBot="1">
      <c r="A15" s="15" t="s">
        <v>66</v>
      </c>
      <c r="B15" s="48" t="b">
        <f t="shared" si="0"/>
        <v>0</v>
      </c>
      <c r="C15" s="1"/>
      <c r="D15" s="1"/>
    </row>
    <row r="16" spans="1:4" ht="15" thickBot="1">
      <c r="A16" s="14" t="s">
        <v>67</v>
      </c>
      <c r="B16" s="48" t="b">
        <f t="shared" si="0"/>
        <v>0</v>
      </c>
      <c r="C16" s="1"/>
      <c r="D16" s="1"/>
    </row>
    <row r="17" spans="1:11" ht="15" thickBot="1">
      <c r="A17" s="1">
        <v>191</v>
      </c>
      <c r="B17" s="48" t="b">
        <f t="shared" si="0"/>
        <v>1</v>
      </c>
      <c r="C17" s="1"/>
      <c r="D17" s="1"/>
      <c r="J17" s="1"/>
      <c r="K17" s="1"/>
    </row>
    <row r="18" spans="1:11" ht="15" thickBot="1">
      <c r="A18" s="1">
        <v>52</v>
      </c>
      <c r="B18" s="48" t="b">
        <f t="shared" si="0"/>
        <v>1</v>
      </c>
      <c r="C18" s="1"/>
      <c r="D18" s="1"/>
      <c r="J18" s="1"/>
      <c r="K18" s="1"/>
    </row>
    <row r="19" spans="1:11" ht="15" thickBot="1">
      <c r="A19" s="1">
        <v>198</v>
      </c>
      <c r="B19" s="48" t="b">
        <f t="shared" si="0"/>
        <v>1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 ht="15" thickBot="1">
      <c r="A20" s="1">
        <v>205</v>
      </c>
      <c r="B20" s="48" t="b">
        <f t="shared" si="0"/>
        <v>1</v>
      </c>
      <c r="C20" s="1"/>
      <c r="D20" s="1"/>
      <c r="E20" s="1"/>
      <c r="F20" s="1"/>
      <c r="G20" s="1"/>
      <c r="H20" s="1"/>
      <c r="I20" s="1"/>
      <c r="J20" s="1"/>
      <c r="K20" s="4"/>
    </row>
    <row r="21" spans="1:11" ht="15" thickBot="1">
      <c r="A21" s="15" t="s">
        <v>68</v>
      </c>
      <c r="B21" s="48" t="b">
        <f t="shared" si="0"/>
        <v>0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ht="15" thickBot="1">
      <c r="A22" s="1">
        <v>278</v>
      </c>
      <c r="B22" s="48" t="b">
        <f t="shared" si="0"/>
        <v>1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ht="15" thickBot="1">
      <c r="A23" s="1">
        <v>13</v>
      </c>
      <c r="B23" s="48" t="b">
        <f t="shared" si="0"/>
        <v>1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>
        <v>776</v>
      </c>
      <c r="B24" s="48" t="b">
        <f t="shared" si="0"/>
        <v>1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D25" s="1"/>
      <c r="E25" s="1"/>
      <c r="F25" s="1"/>
      <c r="G25" s="1"/>
      <c r="H25" s="1"/>
      <c r="I25" s="1"/>
    </row>
    <row r="26" spans="1:11">
      <c r="D26" s="1"/>
      <c r="E26" s="1"/>
      <c r="F26" s="1"/>
      <c r="G26" s="1"/>
      <c r="H26" s="1"/>
      <c r="I26" s="1"/>
    </row>
  </sheetData>
  <sheetProtection formatCells="0" formatColumns="0" formatRows="0" insertColumns="0" insertRows="0" insertHyperlinks="0" deleteColumns="0" deleteRows="0" sort="0" autoFilter="0" pivotTables="0"/>
  <protectedRanges>
    <protectedRange sqref="D1" name="Диапазон2"/>
    <protectedRange sqref="B1:B24" name="Диапазон1"/>
  </protectedRanges>
  <phoneticPr fontId="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/>
  <dimension ref="A1:K20"/>
  <sheetViews>
    <sheetView workbookViewId="0">
      <selection activeCell="B1" sqref="B1"/>
    </sheetView>
  </sheetViews>
  <sheetFormatPr defaultColWidth="9.109375" defaultRowHeight="14.4"/>
  <cols>
    <col min="1" max="1" width="31.44140625" style="2" bestFit="1" customWidth="1"/>
    <col min="2" max="16384" width="9.109375" style="2"/>
  </cols>
  <sheetData>
    <row r="1" spans="1:2" ht="15" thickBot="1">
      <c r="A1" s="1" t="s">
        <v>155</v>
      </c>
      <c r="B1" s="16">
        <f>SEARCH(" ",A1)</f>
        <v>8</v>
      </c>
    </row>
    <row r="3" spans="1:2">
      <c r="A3" s="1"/>
      <c r="B3" s="3" t="s">
        <v>156</v>
      </c>
    </row>
    <row r="4" spans="1:2">
      <c r="A4" s="1"/>
      <c r="B4" s="3" t="s">
        <v>157</v>
      </c>
    </row>
    <row r="5" spans="1:2">
      <c r="A5" s="1"/>
      <c r="B5" s="3" t="s">
        <v>158</v>
      </c>
    </row>
    <row r="7" spans="1:2" ht="15.6">
      <c r="A7" s="1"/>
      <c r="B7" s="7" t="s">
        <v>164</v>
      </c>
    </row>
    <row r="8" spans="1:2">
      <c r="A8" s="14"/>
      <c r="B8" s="3" t="s">
        <v>159</v>
      </c>
    </row>
    <row r="9" spans="1:2">
      <c r="A9" s="1"/>
      <c r="B9" s="3" t="s">
        <v>160</v>
      </c>
    </row>
    <row r="11" spans="1:2">
      <c r="A11" s="1"/>
      <c r="B11" s="52" t="s">
        <v>161</v>
      </c>
    </row>
    <row r="12" spans="1:2">
      <c r="A12" s="15"/>
      <c r="B12" s="3" t="s">
        <v>162</v>
      </c>
    </row>
    <row r="13" spans="1:2">
      <c r="A13" s="14"/>
      <c r="B13" s="53" t="s">
        <v>163</v>
      </c>
    </row>
    <row r="18" spans="1:11">
      <c r="A18" s="15"/>
      <c r="B18" s="1"/>
      <c r="C18" s="1"/>
      <c r="D18" s="1"/>
      <c r="E18" s="1"/>
      <c r="F18" s="1"/>
      <c r="G18" s="1"/>
      <c r="H18" s="1"/>
      <c r="I18" s="1"/>
      <c r="J18" s="1"/>
      <c r="K18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4"/>
    </row>
  </sheetData>
  <sheetProtection password="C71F" sheet="1"/>
  <protectedRanges>
    <protectedRange sqref="B1" name="Диапазон1"/>
  </protectedRanges>
  <phoneticPr fontId="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/>
  <dimension ref="A1:K20"/>
  <sheetViews>
    <sheetView workbookViewId="0">
      <selection activeCell="B1" sqref="B1"/>
    </sheetView>
  </sheetViews>
  <sheetFormatPr defaultColWidth="9.109375" defaultRowHeight="14.4"/>
  <cols>
    <col min="1" max="1" width="31.44140625" style="2" bestFit="1" customWidth="1"/>
    <col min="2" max="16384" width="9.109375" style="2"/>
  </cols>
  <sheetData>
    <row r="1" spans="1:2" ht="15" thickBot="1">
      <c r="A1" s="1" t="s">
        <v>155</v>
      </c>
      <c r="B1" s="16">
        <f>SEARCH(" ",A1,SEARCH(" ",A1)+1)</f>
        <v>18</v>
      </c>
    </row>
    <row r="3" spans="1:2">
      <c r="A3" s="1"/>
      <c r="B3" s="3" t="s">
        <v>156</v>
      </c>
    </row>
    <row r="4" spans="1:2">
      <c r="A4" s="1"/>
      <c r="B4" s="3" t="s">
        <v>165</v>
      </c>
    </row>
    <row r="5" spans="1:2">
      <c r="A5" s="1"/>
      <c r="B5" s="3" t="s">
        <v>166</v>
      </c>
    </row>
    <row r="7" spans="1:2" ht="15.6">
      <c r="A7" s="1"/>
      <c r="B7" s="7" t="s">
        <v>171</v>
      </c>
    </row>
    <row r="8" spans="1:2">
      <c r="A8" s="14"/>
      <c r="B8" s="3" t="s">
        <v>159</v>
      </c>
    </row>
    <row r="9" spans="1:2">
      <c r="A9" s="1"/>
      <c r="B9" s="3" t="s">
        <v>167</v>
      </c>
    </row>
    <row r="10" spans="1:2">
      <c r="A10" s="1"/>
      <c r="B10" s="3" t="s">
        <v>65</v>
      </c>
    </row>
    <row r="12" spans="1:2">
      <c r="A12" s="15"/>
      <c r="B12" s="52" t="s">
        <v>168</v>
      </c>
    </row>
    <row r="13" spans="1:2">
      <c r="A13" s="14"/>
      <c r="B13" s="3" t="s">
        <v>169</v>
      </c>
    </row>
    <row r="14" spans="1:2">
      <c r="A14" s="1"/>
      <c r="B14" s="3" t="s">
        <v>170</v>
      </c>
    </row>
    <row r="18" spans="1:11">
      <c r="A18" s="15"/>
      <c r="B18" s="1"/>
      <c r="C18" s="1"/>
      <c r="D18" s="1"/>
      <c r="E18" s="1"/>
      <c r="F18" s="1"/>
      <c r="G18" s="1"/>
      <c r="H18" s="1"/>
      <c r="I18" s="1"/>
      <c r="J18" s="1"/>
      <c r="K18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4"/>
    </row>
  </sheetData>
  <sheetProtection password="C71F" sheet="1"/>
  <protectedRanges>
    <protectedRange sqref="B1" name="Диапазон1"/>
  </protectedRanges>
  <phoneticPr fontId="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/>
  <dimension ref="A1:AQ593"/>
  <sheetViews>
    <sheetView workbookViewId="0">
      <selection activeCell="A20" sqref="A20"/>
    </sheetView>
  </sheetViews>
  <sheetFormatPr defaultRowHeight="14.4"/>
  <cols>
    <col min="1" max="1" width="10.109375" customWidth="1"/>
    <col min="7" max="7" width="9.109375" style="84"/>
  </cols>
  <sheetData>
    <row r="1" spans="1:43" ht="27">
      <c r="A1" s="58" t="s">
        <v>172</v>
      </c>
      <c r="B1" s="59" t="s">
        <v>173</v>
      </c>
      <c r="C1" s="60" t="s">
        <v>174</v>
      </c>
      <c r="D1" s="60" t="s">
        <v>175</v>
      </c>
      <c r="E1" s="60" t="s">
        <v>176</v>
      </c>
      <c r="F1" s="54"/>
      <c r="G1" s="30"/>
      <c r="H1" s="21" t="s">
        <v>177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</row>
    <row r="2" spans="1:43">
      <c r="A2" s="55"/>
      <c r="B2" s="56"/>
      <c r="C2" s="54" t="s">
        <v>178</v>
      </c>
      <c r="D2" s="54"/>
      <c r="E2" s="54"/>
      <c r="F2" s="54"/>
      <c r="G2" s="30"/>
      <c r="H2" s="21" t="s">
        <v>179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</row>
    <row r="3" spans="1:43">
      <c r="A3" s="55"/>
      <c r="B3" s="56"/>
      <c r="C3" s="54"/>
      <c r="D3" s="54"/>
      <c r="E3" s="54"/>
      <c r="F3" s="54"/>
      <c r="G3" s="30"/>
      <c r="H3" s="21" t="s">
        <v>180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</row>
    <row r="4" spans="1:43" ht="27">
      <c r="A4" s="61" t="s">
        <v>172</v>
      </c>
      <c r="B4" s="62" t="s">
        <v>173</v>
      </c>
      <c r="C4" s="63" t="s">
        <v>174</v>
      </c>
      <c r="D4" s="63" t="s">
        <v>175</v>
      </c>
      <c r="E4" s="63" t="s">
        <v>176</v>
      </c>
      <c r="F4" s="63"/>
      <c r="G4" s="19"/>
      <c r="H4" s="21" t="s">
        <v>181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</row>
    <row r="5" spans="1:43">
      <c r="A5" s="61">
        <v>36262</v>
      </c>
      <c r="B5" s="64">
        <v>1212</v>
      </c>
      <c r="C5" s="63" t="s">
        <v>182</v>
      </c>
      <c r="D5" s="65">
        <v>99</v>
      </c>
      <c r="E5" s="63">
        <v>3</v>
      </c>
      <c r="F5" s="63"/>
      <c r="G5" s="19"/>
      <c r="H5" s="21" t="s">
        <v>183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</row>
    <row r="6" spans="1:43">
      <c r="A6" s="61">
        <v>36263</v>
      </c>
      <c r="B6" s="64" t="s">
        <v>184</v>
      </c>
      <c r="C6" s="63" t="s">
        <v>178</v>
      </c>
      <c r="D6" s="65">
        <v>59</v>
      </c>
      <c r="E6" s="63">
        <v>5</v>
      </c>
      <c r="F6" s="63"/>
      <c r="G6" s="19"/>
      <c r="H6" s="21" t="s">
        <v>185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</row>
    <row r="7" spans="1:43">
      <c r="A7" s="61">
        <v>36264</v>
      </c>
      <c r="B7" s="64" t="s">
        <v>186</v>
      </c>
      <c r="C7" s="63" t="s">
        <v>182</v>
      </c>
      <c r="D7" s="65">
        <v>217</v>
      </c>
      <c r="E7" s="63">
        <v>3</v>
      </c>
      <c r="F7" s="63"/>
      <c r="G7" s="19"/>
      <c r="H7" s="21" t="s">
        <v>187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</row>
    <row r="8" spans="1:43">
      <c r="A8" s="61">
        <v>36265</v>
      </c>
      <c r="B8" s="64" t="s">
        <v>186</v>
      </c>
      <c r="C8" s="63" t="s">
        <v>182</v>
      </c>
      <c r="D8" s="65">
        <v>216</v>
      </c>
      <c r="E8" s="63">
        <v>3</v>
      </c>
      <c r="F8" s="63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</row>
    <row r="9" spans="1:43" ht="15.6">
      <c r="A9" s="61">
        <v>36658</v>
      </c>
      <c r="B9" s="64" t="s">
        <v>184</v>
      </c>
      <c r="C9" s="63" t="s">
        <v>178</v>
      </c>
      <c r="D9" s="65">
        <v>259</v>
      </c>
      <c r="E9" s="63">
        <v>5</v>
      </c>
      <c r="F9" s="63"/>
      <c r="G9" s="19"/>
      <c r="H9" s="41" t="s">
        <v>117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</row>
    <row r="10" spans="1:43">
      <c r="A10" s="61">
        <v>36266</v>
      </c>
      <c r="B10" s="64" t="s">
        <v>188</v>
      </c>
      <c r="C10" s="63" t="s">
        <v>189</v>
      </c>
      <c r="D10" s="65">
        <v>206</v>
      </c>
      <c r="E10" s="63">
        <v>2</v>
      </c>
      <c r="F10" s="63"/>
      <c r="G10" s="19"/>
      <c r="H10" s="21" t="s">
        <v>190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</row>
    <row r="11" spans="1:43">
      <c r="A11" s="61">
        <v>36267</v>
      </c>
      <c r="B11" s="64" t="s">
        <v>184</v>
      </c>
      <c r="C11" s="63" t="s">
        <v>178</v>
      </c>
      <c r="D11" s="65">
        <v>273</v>
      </c>
      <c r="E11" s="63">
        <v>5</v>
      </c>
      <c r="F11" s="63"/>
      <c r="G11" s="19"/>
      <c r="H11" s="21" t="s">
        <v>191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</row>
    <row r="12" spans="1:43">
      <c r="A12" s="61">
        <v>36268</v>
      </c>
      <c r="B12" s="64" t="s">
        <v>186</v>
      </c>
      <c r="C12" s="63" t="s">
        <v>182</v>
      </c>
      <c r="D12" s="65">
        <v>250</v>
      </c>
      <c r="E12" s="63">
        <v>3</v>
      </c>
      <c r="F12" s="63"/>
      <c r="G12" s="19"/>
      <c r="H12" s="21" t="s">
        <v>192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</row>
    <row r="13" spans="1:43">
      <c r="A13" s="61">
        <v>36269</v>
      </c>
      <c r="B13" s="64" t="s">
        <v>186</v>
      </c>
      <c r="C13" s="63" t="s">
        <v>182</v>
      </c>
      <c r="D13" s="65">
        <v>273</v>
      </c>
      <c r="E13" s="63">
        <v>3</v>
      </c>
      <c r="F13" s="63"/>
      <c r="G13" s="19"/>
      <c r="H13" s="21" t="s">
        <v>193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</row>
    <row r="14" spans="1:43">
      <c r="A14" s="61">
        <v>36270</v>
      </c>
      <c r="B14" s="64" t="s">
        <v>184</v>
      </c>
      <c r="C14" s="63" t="s">
        <v>178</v>
      </c>
      <c r="D14" s="65">
        <v>79</v>
      </c>
      <c r="E14" s="63">
        <v>5</v>
      </c>
      <c r="F14" s="63"/>
      <c r="G14" s="19"/>
      <c r="H14" s="21" t="s">
        <v>194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</row>
    <row r="15" spans="1:43">
      <c r="A15" s="61">
        <v>36271</v>
      </c>
      <c r="B15" s="64" t="s">
        <v>188</v>
      </c>
      <c r="C15" s="63" t="s">
        <v>189</v>
      </c>
      <c r="D15" s="65">
        <v>229</v>
      </c>
      <c r="E15" s="63">
        <v>2</v>
      </c>
      <c r="F15" s="63"/>
      <c r="G15" s="19"/>
      <c r="H15" s="21" t="s">
        <v>195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</row>
    <row r="16" spans="1:43">
      <c r="A16" s="61">
        <v>36272</v>
      </c>
      <c r="B16" s="64" t="s">
        <v>188</v>
      </c>
      <c r="C16" s="63" t="s">
        <v>189</v>
      </c>
      <c r="D16" s="65">
        <v>197</v>
      </c>
      <c r="E16" s="63">
        <v>2</v>
      </c>
      <c r="F16" s="63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</row>
    <row r="17" spans="1:43">
      <c r="A17" s="61"/>
      <c r="B17" s="64"/>
      <c r="C17" s="63"/>
      <c r="D17" s="63"/>
      <c r="E17" s="63"/>
      <c r="F17" s="63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</row>
    <row r="18" spans="1:43">
      <c r="A18" s="58"/>
      <c r="B18" s="66"/>
      <c r="C18" s="60"/>
      <c r="D18" s="60"/>
      <c r="E18" s="60"/>
      <c r="F18" s="54"/>
      <c r="G18" s="30"/>
      <c r="H18" s="19"/>
      <c r="I18" s="19"/>
      <c r="J18" s="21"/>
      <c r="K18" s="22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</row>
    <row r="19" spans="1:43">
      <c r="A19" s="55"/>
      <c r="B19" s="56"/>
      <c r="C19" s="54"/>
      <c r="D19" s="57"/>
      <c r="E19" s="54"/>
      <c r="F19" s="54"/>
      <c r="G19" s="30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>
      <c r="A20" s="55" cm="1">
        <f t="array" ref="A20:E21">_xlfn._xlws.FILTER(A5:E16,(D5:D16*E5:E16&gt;500)*(C5:C16="США"),"")</f>
        <v>36658</v>
      </c>
      <c r="B20" s="100" t="str">
        <v>1056</v>
      </c>
      <c r="C20" s="54" t="str">
        <v>США</v>
      </c>
      <c r="D20" s="54">
        <v>259</v>
      </c>
      <c r="E20" s="54">
        <v>5</v>
      </c>
      <c r="F20" s="54"/>
      <c r="G20" s="30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</row>
    <row r="21" spans="1:43">
      <c r="A21" s="55">
        <v>36267</v>
      </c>
      <c r="B21" s="56" t="str">
        <v>1056</v>
      </c>
      <c r="C21" s="54" t="str">
        <v>США</v>
      </c>
      <c r="D21" s="54">
        <v>273</v>
      </c>
      <c r="E21" s="54">
        <v>5</v>
      </c>
      <c r="F21" s="54"/>
      <c r="G21" s="30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</row>
    <row r="22" spans="1:43">
      <c r="A22" s="55"/>
      <c r="B22" s="56"/>
      <c r="C22" s="54"/>
      <c r="D22" s="54"/>
      <c r="E22" s="54"/>
      <c r="F22" s="54"/>
      <c r="G22" s="30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</row>
    <row r="23" spans="1:43">
      <c r="A23" s="101"/>
      <c r="B23" s="102"/>
      <c r="C23" s="103"/>
      <c r="D23" s="103"/>
      <c r="E23" s="103"/>
      <c r="F23" s="103"/>
      <c r="G23" s="30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</row>
    <row r="24" spans="1:43">
      <c r="A24" s="101"/>
      <c r="B24" s="104"/>
      <c r="C24" s="103"/>
      <c r="D24" s="105"/>
      <c r="E24" s="103"/>
      <c r="F24" s="103"/>
      <c r="G24" s="30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</row>
    <row r="25" spans="1:43">
      <c r="A25" s="101"/>
      <c r="B25" s="104"/>
      <c r="C25" s="103"/>
      <c r="D25" s="105"/>
      <c r="E25" s="103"/>
      <c r="F25" s="103"/>
      <c r="G25" s="3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</row>
    <row r="26" spans="1:43">
      <c r="A26" s="101"/>
      <c r="B26" s="104"/>
      <c r="C26" s="103"/>
      <c r="D26" s="105"/>
      <c r="E26" s="103"/>
      <c r="F26" s="103"/>
      <c r="G26" s="30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</row>
    <row r="27" spans="1:43">
      <c r="A27" s="101"/>
      <c r="B27" s="104"/>
      <c r="C27" s="103"/>
      <c r="D27" s="105"/>
      <c r="E27" s="103"/>
      <c r="F27" s="103"/>
      <c r="G27" s="30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</row>
    <row r="28" spans="1:43">
      <c r="A28" s="101"/>
      <c r="B28" s="104"/>
      <c r="C28" s="103"/>
      <c r="D28" s="105"/>
      <c r="E28" s="103"/>
      <c r="F28" s="103"/>
      <c r="G28" s="30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</row>
    <row r="29" spans="1:43">
      <c r="A29" s="101"/>
      <c r="B29" s="104"/>
      <c r="C29" s="103"/>
      <c r="D29" s="105"/>
      <c r="E29" s="103"/>
      <c r="F29" s="103"/>
      <c r="G29" s="30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</row>
    <row r="30" spans="1:43">
      <c r="A30" s="101"/>
      <c r="B30" s="104"/>
      <c r="C30" s="103"/>
      <c r="D30" s="105"/>
      <c r="E30" s="103"/>
      <c r="F30" s="103"/>
      <c r="G30" s="30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</row>
    <row r="31" spans="1:43">
      <c r="A31" s="101"/>
      <c r="B31" s="104"/>
      <c r="C31" s="103"/>
      <c r="D31" s="105"/>
      <c r="E31" s="103"/>
      <c r="F31" s="103"/>
      <c r="G31" s="30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</row>
    <row r="32" spans="1:43">
      <c r="A32" s="101"/>
      <c r="B32" s="104"/>
      <c r="C32" s="103"/>
      <c r="D32" s="105"/>
      <c r="E32" s="103"/>
      <c r="F32" s="103"/>
      <c r="G32" s="30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</row>
    <row r="33" spans="1:43">
      <c r="A33" s="101"/>
      <c r="B33" s="104"/>
      <c r="C33" s="103"/>
      <c r="D33" s="105"/>
      <c r="E33" s="103"/>
      <c r="F33" s="103"/>
      <c r="G33" s="30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</row>
    <row r="34" spans="1:43">
      <c r="A34" s="101"/>
      <c r="B34" s="104"/>
      <c r="C34" s="103"/>
      <c r="D34" s="105"/>
      <c r="E34" s="103"/>
      <c r="F34" s="103"/>
      <c r="G34" s="30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</row>
    <row r="35" spans="1:43">
      <c r="A35" s="101"/>
      <c r="B35" s="104"/>
      <c r="C35" s="103"/>
      <c r="D35" s="105"/>
      <c r="E35" s="103"/>
      <c r="F35" s="103"/>
      <c r="G35" s="30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</row>
    <row r="36" spans="1:43">
      <c r="A36" s="101"/>
      <c r="B36" s="104"/>
      <c r="C36" s="103"/>
      <c r="D36" s="103"/>
      <c r="E36" s="103"/>
      <c r="F36" s="103"/>
      <c r="G36" s="30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</row>
    <row r="37" spans="1:43">
      <c r="A37" s="30"/>
      <c r="B37" s="30"/>
      <c r="C37" s="30"/>
      <c r="D37" s="30"/>
      <c r="E37" s="30"/>
      <c r="F37" s="30"/>
      <c r="G37" s="30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</row>
    <row r="38" spans="1:43">
      <c r="A38" s="30"/>
      <c r="B38" s="30"/>
      <c r="C38" s="30"/>
      <c r="D38" s="30"/>
      <c r="E38" s="30"/>
      <c r="F38" s="30"/>
      <c r="G38" s="30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</row>
    <row r="39" spans="1:43">
      <c r="A39" s="30"/>
      <c r="B39" s="30"/>
      <c r="C39" s="30"/>
      <c r="D39" s="30"/>
      <c r="E39" s="30"/>
      <c r="F39" s="30"/>
      <c r="G39" s="30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</row>
    <row r="40" spans="1:43">
      <c r="A40" s="30"/>
      <c r="B40" s="30"/>
      <c r="C40" s="30"/>
      <c r="D40" s="30"/>
      <c r="E40" s="30"/>
      <c r="F40" s="30"/>
      <c r="G40" s="30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</row>
    <row r="41" spans="1:43">
      <c r="A41" s="30"/>
      <c r="B41" s="30"/>
      <c r="C41" s="30"/>
      <c r="D41" s="30"/>
      <c r="E41" s="30"/>
      <c r="F41" s="30"/>
      <c r="G41" s="30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</row>
    <row r="42" spans="1:43">
      <c r="A42" s="30"/>
      <c r="B42" s="30"/>
      <c r="C42" s="30"/>
      <c r="D42" s="30"/>
      <c r="E42" s="30"/>
      <c r="F42" s="30"/>
      <c r="G42" s="30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</row>
    <row r="43" spans="1:43">
      <c r="A43" s="30"/>
      <c r="B43" s="30"/>
      <c r="C43" s="30"/>
      <c r="D43" s="30"/>
      <c r="E43" s="30"/>
      <c r="F43" s="30"/>
      <c r="G43" s="30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</row>
    <row r="44" spans="1:43">
      <c r="A44" s="30"/>
      <c r="B44" s="30"/>
      <c r="C44" s="30"/>
      <c r="D44" s="30"/>
      <c r="E44" s="30"/>
      <c r="F44" s="30"/>
      <c r="G44" s="30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</row>
    <row r="45" spans="1:43">
      <c r="A45" s="30"/>
      <c r="B45" s="30"/>
      <c r="C45" s="30"/>
      <c r="D45" s="30"/>
      <c r="E45" s="30"/>
      <c r="F45" s="30"/>
      <c r="G45" s="30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</row>
    <row r="46" spans="1:43">
      <c r="A46" s="30"/>
      <c r="B46" s="30"/>
      <c r="C46" s="30"/>
      <c r="D46" s="30"/>
      <c r="E46" s="30"/>
      <c r="F46" s="30"/>
      <c r="G46" s="30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</row>
    <row r="47" spans="1:43">
      <c r="A47" s="30"/>
      <c r="B47" s="30"/>
      <c r="C47" s="30"/>
      <c r="D47" s="30"/>
      <c r="E47" s="30"/>
      <c r="F47" s="30"/>
      <c r="G47" s="30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spans="1:43">
      <c r="A48" s="30"/>
      <c r="B48" s="30"/>
      <c r="C48" s="30"/>
      <c r="D48" s="30"/>
      <c r="E48" s="30"/>
      <c r="F48" s="30"/>
      <c r="G48" s="30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spans="1:23">
      <c r="A49" s="30"/>
      <c r="B49" s="30"/>
      <c r="C49" s="30"/>
      <c r="D49" s="30"/>
      <c r="E49" s="30"/>
      <c r="F49" s="30"/>
      <c r="G49" s="30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spans="1:23">
      <c r="A50" s="30"/>
      <c r="B50" s="30"/>
      <c r="C50" s="30"/>
      <c r="D50" s="30"/>
      <c r="E50" s="30"/>
      <c r="F50" s="30"/>
      <c r="G50" s="30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spans="1:23">
      <c r="A51" s="30"/>
      <c r="B51" s="30"/>
      <c r="C51" s="30"/>
      <c r="D51" s="30"/>
      <c r="E51" s="30"/>
      <c r="F51" s="30"/>
      <c r="G51" s="30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spans="1:23">
      <c r="A52" s="30"/>
      <c r="B52" s="30"/>
      <c r="C52" s="30"/>
      <c r="D52" s="30"/>
      <c r="E52" s="30"/>
      <c r="F52" s="30"/>
      <c r="G52" s="30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spans="1:23">
      <c r="A53" s="30"/>
      <c r="B53" s="30"/>
      <c r="C53" s="30"/>
      <c r="D53" s="30"/>
      <c r="E53" s="30"/>
      <c r="F53" s="30"/>
      <c r="G53" s="30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spans="1:23">
      <c r="A54" s="30"/>
      <c r="B54" s="30"/>
      <c r="C54" s="30"/>
      <c r="D54" s="30"/>
      <c r="E54" s="30"/>
      <c r="F54" s="30"/>
      <c r="G54" s="30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spans="1:23">
      <c r="A55" s="30"/>
      <c r="B55" s="30"/>
      <c r="C55" s="30"/>
      <c r="D55" s="30"/>
      <c r="E55" s="30"/>
      <c r="F55" s="30"/>
      <c r="G55" s="30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spans="1:23">
      <c r="A56" s="30"/>
      <c r="B56" s="30"/>
      <c r="C56" s="30"/>
      <c r="D56" s="30"/>
      <c r="E56" s="30"/>
      <c r="F56" s="30"/>
      <c r="G56" s="30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spans="1:23">
      <c r="A57" s="30"/>
      <c r="B57" s="30"/>
      <c r="C57" s="30"/>
      <c r="D57" s="30"/>
      <c r="E57" s="30"/>
      <c r="F57" s="30"/>
      <c r="G57" s="30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spans="1:23">
      <c r="A58" s="30"/>
      <c r="B58" s="30"/>
      <c r="C58" s="30"/>
      <c r="D58" s="30"/>
      <c r="E58" s="30"/>
      <c r="F58" s="30"/>
      <c r="G58" s="30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spans="1:23">
      <c r="A59" s="30"/>
      <c r="B59" s="30"/>
      <c r="C59" s="30"/>
      <c r="D59" s="30"/>
      <c r="E59" s="30"/>
      <c r="F59" s="30"/>
      <c r="G59" s="30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spans="1:23">
      <c r="A60" s="30"/>
      <c r="B60" s="30"/>
      <c r="C60" s="30"/>
      <c r="D60" s="30"/>
      <c r="E60" s="30"/>
      <c r="F60" s="30"/>
      <c r="G60" s="30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spans="1:23">
      <c r="A61" s="30"/>
      <c r="B61" s="30"/>
      <c r="C61" s="30"/>
      <c r="D61" s="30"/>
      <c r="E61" s="30"/>
      <c r="F61" s="30"/>
      <c r="G61" s="30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spans="1:23">
      <c r="A62" s="30"/>
      <c r="B62" s="30"/>
      <c r="C62" s="30"/>
      <c r="D62" s="30"/>
      <c r="E62" s="30"/>
      <c r="F62" s="30"/>
      <c r="G62" s="30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spans="1:23">
      <c r="A63" s="30"/>
      <c r="B63" s="30"/>
      <c r="C63" s="30"/>
      <c r="D63" s="30"/>
      <c r="E63" s="30"/>
      <c r="F63" s="30"/>
      <c r="G63" s="30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spans="1:23">
      <c r="A64" s="30"/>
      <c r="B64" s="30"/>
      <c r="C64" s="30"/>
      <c r="D64" s="30"/>
      <c r="E64" s="30"/>
      <c r="F64" s="30"/>
      <c r="G64" s="30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spans="1:23">
      <c r="A65" s="30"/>
      <c r="B65" s="30"/>
      <c r="C65" s="30"/>
      <c r="D65" s="30"/>
      <c r="E65" s="30"/>
      <c r="F65" s="30"/>
      <c r="G65" s="30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spans="1:23">
      <c r="A66" s="30"/>
      <c r="B66" s="30"/>
      <c r="C66" s="30"/>
      <c r="D66" s="30"/>
      <c r="E66" s="30"/>
      <c r="F66" s="30"/>
      <c r="G66" s="30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spans="1:23">
      <c r="A67" s="30"/>
      <c r="B67" s="30"/>
      <c r="C67" s="30"/>
      <c r="D67" s="30"/>
      <c r="E67" s="30"/>
      <c r="F67" s="30"/>
      <c r="G67" s="30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spans="1:23">
      <c r="A68" s="30"/>
      <c r="B68" s="30"/>
      <c r="C68" s="30"/>
      <c r="D68" s="30"/>
      <c r="E68" s="30"/>
      <c r="F68" s="30"/>
      <c r="G68" s="30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spans="1:23">
      <c r="A69" s="30"/>
      <c r="B69" s="30"/>
      <c r="C69" s="30"/>
      <c r="D69" s="30"/>
      <c r="E69" s="30"/>
      <c r="F69" s="30"/>
      <c r="G69" s="30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spans="1:23">
      <c r="A70" s="30"/>
      <c r="B70" s="30"/>
      <c r="C70" s="30"/>
      <c r="D70" s="30"/>
      <c r="E70" s="30"/>
      <c r="F70" s="30"/>
      <c r="G70" s="30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spans="1:23">
      <c r="A71" s="30"/>
      <c r="B71" s="30"/>
      <c r="C71" s="30"/>
      <c r="D71" s="30"/>
      <c r="E71" s="30"/>
      <c r="F71" s="30"/>
      <c r="G71" s="30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spans="1:23">
      <c r="A72" s="30"/>
      <c r="B72" s="30"/>
      <c r="C72" s="30"/>
      <c r="D72" s="30"/>
      <c r="E72" s="30"/>
      <c r="F72" s="30"/>
      <c r="G72" s="30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spans="1:23">
      <c r="A73" s="30"/>
      <c r="B73" s="30"/>
      <c r="C73" s="30"/>
      <c r="D73" s="30"/>
      <c r="E73" s="30"/>
      <c r="F73" s="30"/>
      <c r="G73" s="30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spans="1:23">
      <c r="A74" s="30"/>
      <c r="B74" s="30"/>
      <c r="C74" s="30"/>
      <c r="D74" s="30"/>
      <c r="E74" s="30"/>
      <c r="F74" s="30"/>
      <c r="G74" s="30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spans="1:23">
      <c r="A75" s="30"/>
      <c r="B75" s="30"/>
      <c r="C75" s="30"/>
      <c r="D75" s="30"/>
      <c r="E75" s="30"/>
      <c r="F75" s="30"/>
      <c r="G75" s="30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spans="1:23">
      <c r="A76" s="30"/>
      <c r="B76" s="30"/>
      <c r="C76" s="30"/>
      <c r="D76" s="30"/>
      <c r="E76" s="30"/>
      <c r="F76" s="30"/>
      <c r="G76" s="30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spans="1:23">
      <c r="A77" s="30"/>
      <c r="B77" s="30"/>
      <c r="C77" s="30"/>
      <c r="D77" s="30"/>
      <c r="E77" s="30"/>
      <c r="F77" s="30"/>
      <c r="G77" s="30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spans="1:23">
      <c r="A78" s="30"/>
      <c r="B78" s="30"/>
      <c r="C78" s="30"/>
      <c r="D78" s="30"/>
      <c r="E78" s="30"/>
      <c r="F78" s="30"/>
      <c r="G78" s="30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spans="1:23">
      <c r="A79" s="30"/>
      <c r="B79" s="30"/>
      <c r="C79" s="30"/>
      <c r="D79" s="30"/>
      <c r="E79" s="30"/>
      <c r="F79" s="30"/>
      <c r="G79" s="30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spans="1:23">
      <c r="A80" s="30"/>
      <c r="B80" s="30"/>
      <c r="C80" s="30"/>
      <c r="D80" s="30"/>
      <c r="E80" s="30"/>
      <c r="F80" s="30"/>
      <c r="G80" s="30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spans="1:23">
      <c r="A81" s="30"/>
      <c r="B81" s="30"/>
      <c r="C81" s="30"/>
      <c r="D81" s="30"/>
      <c r="E81" s="30"/>
      <c r="F81" s="30"/>
      <c r="G81" s="30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spans="1:23">
      <c r="A82" s="30"/>
      <c r="B82" s="30"/>
      <c r="C82" s="30"/>
      <c r="D82" s="30"/>
      <c r="E82" s="30"/>
      <c r="F82" s="30"/>
      <c r="G82" s="30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spans="1:23">
      <c r="A83" s="30"/>
      <c r="B83" s="30"/>
      <c r="C83" s="30"/>
      <c r="D83" s="30"/>
      <c r="E83" s="30"/>
      <c r="F83" s="30"/>
      <c r="G83" s="30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spans="1:23">
      <c r="A84" s="30"/>
      <c r="B84" s="30"/>
      <c r="C84" s="30"/>
      <c r="D84" s="30"/>
      <c r="E84" s="30"/>
      <c r="F84" s="30"/>
      <c r="G84" s="30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spans="1:23">
      <c r="A85" s="30"/>
      <c r="B85" s="30"/>
      <c r="C85" s="30"/>
      <c r="D85" s="30"/>
      <c r="E85" s="30"/>
      <c r="F85" s="30"/>
      <c r="G85" s="30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spans="1:23">
      <c r="A86" s="30"/>
      <c r="B86" s="30"/>
      <c r="C86" s="30"/>
      <c r="D86" s="30"/>
      <c r="E86" s="30"/>
      <c r="F86" s="30"/>
      <c r="G86" s="30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spans="1:23">
      <c r="A87" s="30"/>
      <c r="B87" s="30"/>
      <c r="C87" s="30"/>
      <c r="D87" s="30"/>
      <c r="E87" s="30"/>
      <c r="F87" s="30"/>
      <c r="G87" s="30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 spans="1:23">
      <c r="A88" s="30"/>
      <c r="B88" s="30"/>
      <c r="C88" s="30"/>
      <c r="D88" s="30"/>
      <c r="E88" s="30"/>
      <c r="F88" s="30"/>
      <c r="G88" s="30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spans="1:23">
      <c r="A89" s="30"/>
      <c r="B89" s="30"/>
      <c r="C89" s="30"/>
      <c r="D89" s="30"/>
      <c r="E89" s="30"/>
      <c r="F89" s="30"/>
      <c r="G89" s="30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spans="1:23">
      <c r="A90" s="30"/>
      <c r="B90" s="30"/>
      <c r="C90" s="30"/>
      <c r="D90" s="30"/>
      <c r="E90" s="30"/>
      <c r="F90" s="30"/>
      <c r="G90" s="30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spans="1:23">
      <c r="A91" s="30"/>
      <c r="B91" s="30"/>
      <c r="C91" s="30"/>
      <c r="D91" s="30"/>
      <c r="E91" s="30"/>
      <c r="F91" s="30"/>
      <c r="G91" s="30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spans="1:23">
      <c r="A92" s="30"/>
      <c r="B92" s="30"/>
      <c r="C92" s="30"/>
      <c r="D92" s="30"/>
      <c r="E92" s="30"/>
      <c r="F92" s="30"/>
      <c r="G92" s="30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spans="1:23">
      <c r="A93" s="30"/>
      <c r="B93" s="30"/>
      <c r="C93" s="30"/>
      <c r="D93" s="30"/>
      <c r="E93" s="30"/>
      <c r="F93" s="30"/>
      <c r="G93" s="30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spans="1:23">
      <c r="A94" s="30"/>
      <c r="B94" s="30"/>
      <c r="C94" s="30"/>
      <c r="D94" s="30"/>
      <c r="E94" s="30"/>
      <c r="F94" s="30"/>
      <c r="G94" s="30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spans="1:23">
      <c r="A95" s="30"/>
      <c r="B95" s="30"/>
      <c r="C95" s="30"/>
      <c r="D95" s="30"/>
      <c r="E95" s="30"/>
      <c r="F95" s="30"/>
      <c r="G95" s="30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spans="1:23">
      <c r="A96" s="30"/>
      <c r="B96" s="30"/>
      <c r="C96" s="30"/>
      <c r="D96" s="30"/>
      <c r="E96" s="30"/>
      <c r="F96" s="30"/>
      <c r="G96" s="30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spans="1:23">
      <c r="A97" s="30"/>
      <c r="B97" s="30"/>
      <c r="C97" s="30"/>
      <c r="D97" s="30"/>
      <c r="E97" s="30"/>
      <c r="F97" s="30"/>
      <c r="G97" s="30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spans="1:23">
      <c r="A98" s="30"/>
      <c r="B98" s="30"/>
      <c r="C98" s="30"/>
      <c r="D98" s="30"/>
      <c r="E98" s="30"/>
      <c r="F98" s="30"/>
      <c r="G98" s="30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spans="1:23">
      <c r="A99" s="30"/>
      <c r="B99" s="30"/>
      <c r="C99" s="30"/>
      <c r="D99" s="30"/>
      <c r="E99" s="30"/>
      <c r="F99" s="30"/>
      <c r="G99" s="30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spans="1:23">
      <c r="A100" s="30"/>
      <c r="B100" s="30"/>
      <c r="C100" s="30"/>
      <c r="D100" s="30"/>
      <c r="E100" s="30"/>
      <c r="F100" s="30"/>
      <c r="G100" s="30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spans="1:23">
      <c r="A101" s="30"/>
      <c r="B101" s="30"/>
      <c r="C101" s="30"/>
      <c r="D101" s="30"/>
      <c r="E101" s="30"/>
      <c r="F101" s="30"/>
      <c r="G101" s="30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spans="1:23">
      <c r="A102" s="30"/>
      <c r="B102" s="30"/>
      <c r="C102" s="30"/>
      <c r="D102" s="30"/>
      <c r="E102" s="30"/>
      <c r="F102" s="30"/>
      <c r="G102" s="30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spans="1:23">
      <c r="A103" s="30"/>
      <c r="B103" s="30"/>
      <c r="C103" s="30"/>
      <c r="D103" s="30"/>
      <c r="E103" s="30"/>
      <c r="F103" s="30"/>
      <c r="G103" s="30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spans="1:23">
      <c r="A104" s="30"/>
      <c r="B104" s="30"/>
      <c r="C104" s="30"/>
      <c r="D104" s="30"/>
      <c r="E104" s="30"/>
      <c r="F104" s="30"/>
      <c r="G104" s="30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spans="1:23">
      <c r="A105" s="30"/>
      <c r="B105" s="30"/>
      <c r="C105" s="30"/>
      <c r="D105" s="30"/>
      <c r="E105" s="30"/>
      <c r="F105" s="30"/>
      <c r="G105" s="30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spans="1:23">
      <c r="A106" s="30"/>
      <c r="B106" s="30"/>
      <c r="C106" s="30"/>
      <c r="D106" s="30"/>
      <c r="E106" s="30"/>
      <c r="F106" s="30"/>
      <c r="G106" s="30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spans="1:23">
      <c r="A107" s="30"/>
      <c r="B107" s="30"/>
      <c r="C107" s="30"/>
      <c r="D107" s="30"/>
      <c r="E107" s="30"/>
      <c r="F107" s="30"/>
      <c r="G107" s="30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spans="1:23">
      <c r="A108" s="30"/>
      <c r="B108" s="30"/>
      <c r="C108" s="30"/>
      <c r="D108" s="30"/>
      <c r="E108" s="30"/>
      <c r="F108" s="30"/>
      <c r="G108" s="30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spans="1:23">
      <c r="A109" s="30"/>
      <c r="B109" s="30"/>
      <c r="C109" s="30"/>
      <c r="D109" s="30"/>
      <c r="E109" s="30"/>
      <c r="F109" s="30"/>
      <c r="G109" s="30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spans="1:23">
      <c r="A110" s="30"/>
      <c r="B110" s="30"/>
      <c r="C110" s="30"/>
      <c r="D110" s="30"/>
      <c r="E110" s="30"/>
      <c r="F110" s="30"/>
      <c r="G110" s="30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spans="1:23">
      <c r="A111" s="30"/>
      <c r="B111" s="30"/>
      <c r="C111" s="30"/>
      <c r="D111" s="30"/>
      <c r="E111" s="30"/>
      <c r="F111" s="30"/>
      <c r="G111" s="30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spans="1:23">
      <c r="A112" s="30"/>
      <c r="B112" s="30"/>
      <c r="C112" s="30"/>
      <c r="D112" s="30"/>
      <c r="E112" s="30"/>
      <c r="F112" s="30"/>
      <c r="G112" s="30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spans="1:23">
      <c r="A113" s="30"/>
      <c r="B113" s="30"/>
      <c r="C113" s="30"/>
      <c r="D113" s="30"/>
      <c r="E113" s="30"/>
      <c r="F113" s="30"/>
      <c r="G113" s="30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spans="1:23">
      <c r="A114" s="30"/>
      <c r="B114" s="30"/>
      <c r="C114" s="30"/>
      <c r="D114" s="30"/>
      <c r="E114" s="30"/>
      <c r="F114" s="30"/>
      <c r="G114" s="30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spans="1:23">
      <c r="A115" s="30"/>
      <c r="B115" s="30"/>
      <c r="C115" s="30"/>
      <c r="D115" s="30"/>
      <c r="E115" s="30"/>
      <c r="F115" s="30"/>
      <c r="G115" s="30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spans="1:23">
      <c r="A116" s="30"/>
      <c r="B116" s="30"/>
      <c r="C116" s="30"/>
      <c r="D116" s="30"/>
      <c r="E116" s="30"/>
      <c r="F116" s="30"/>
      <c r="G116" s="30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spans="1:23">
      <c r="A117" s="30"/>
      <c r="B117" s="30"/>
      <c r="C117" s="30"/>
      <c r="D117" s="30"/>
      <c r="E117" s="30"/>
      <c r="F117" s="30"/>
      <c r="G117" s="30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 spans="1:23">
      <c r="A118" s="30"/>
      <c r="B118" s="30"/>
      <c r="C118" s="30"/>
      <c r="D118" s="30"/>
      <c r="E118" s="30"/>
      <c r="F118" s="30"/>
      <c r="G118" s="30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spans="1:23">
      <c r="A119" s="30"/>
      <c r="B119" s="30"/>
      <c r="C119" s="30"/>
      <c r="D119" s="30"/>
      <c r="E119" s="30"/>
      <c r="F119" s="30"/>
      <c r="G119" s="30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spans="1:23">
      <c r="A120" s="30"/>
      <c r="B120" s="30"/>
      <c r="C120" s="30"/>
      <c r="D120" s="30"/>
      <c r="E120" s="30"/>
      <c r="F120" s="30"/>
      <c r="G120" s="30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spans="1:23">
      <c r="A121" s="30"/>
      <c r="B121" s="30"/>
      <c r="C121" s="30"/>
      <c r="D121" s="30"/>
      <c r="E121" s="30"/>
      <c r="F121" s="30"/>
      <c r="G121" s="30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 spans="1:23">
      <c r="A122" s="30"/>
      <c r="B122" s="30"/>
      <c r="C122" s="30"/>
      <c r="D122" s="30"/>
      <c r="E122" s="30"/>
      <c r="F122" s="30"/>
      <c r="G122" s="30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 spans="1:23">
      <c r="A123" s="30"/>
      <c r="B123" s="30"/>
      <c r="C123" s="30"/>
      <c r="D123" s="30"/>
      <c r="E123" s="30"/>
      <c r="F123" s="30"/>
      <c r="G123" s="30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 spans="1:23">
      <c r="A124" s="30"/>
      <c r="B124" s="30"/>
      <c r="C124" s="30"/>
      <c r="D124" s="30"/>
      <c r="E124" s="30"/>
      <c r="F124" s="30"/>
      <c r="G124" s="30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spans="1:23">
      <c r="A125" s="30"/>
      <c r="B125" s="30"/>
      <c r="C125" s="30"/>
      <c r="D125" s="30"/>
      <c r="E125" s="30"/>
      <c r="F125" s="30"/>
      <c r="G125" s="30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 spans="1:23">
      <c r="A126" s="30"/>
      <c r="B126" s="30"/>
      <c r="C126" s="30"/>
      <c r="D126" s="30"/>
      <c r="E126" s="30"/>
      <c r="F126" s="30"/>
      <c r="G126" s="30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 spans="1:23">
      <c r="A127" s="30"/>
      <c r="B127" s="30"/>
      <c r="C127" s="30"/>
      <c r="D127" s="30"/>
      <c r="E127" s="30"/>
      <c r="F127" s="30"/>
      <c r="G127" s="30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spans="1:23">
      <c r="A128" s="30"/>
      <c r="B128" s="30"/>
      <c r="C128" s="30"/>
      <c r="D128" s="30"/>
      <c r="E128" s="30"/>
      <c r="F128" s="30"/>
      <c r="G128" s="30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spans="1:23">
      <c r="A129" s="30"/>
      <c r="B129" s="30"/>
      <c r="C129" s="30"/>
      <c r="D129" s="30"/>
      <c r="E129" s="30"/>
      <c r="F129" s="30"/>
      <c r="G129" s="30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spans="1:23">
      <c r="A130" s="30"/>
      <c r="B130" s="30"/>
      <c r="C130" s="30"/>
      <c r="D130" s="30"/>
      <c r="E130" s="30"/>
      <c r="F130" s="30"/>
      <c r="G130" s="30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spans="1:23">
      <c r="A131" s="30"/>
      <c r="B131" s="30"/>
      <c r="C131" s="30"/>
      <c r="D131" s="30"/>
      <c r="E131" s="30"/>
      <c r="F131" s="30"/>
      <c r="G131" s="30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spans="1:23">
      <c r="A132" s="30"/>
      <c r="B132" s="30"/>
      <c r="C132" s="30"/>
      <c r="D132" s="30"/>
      <c r="E132" s="30"/>
      <c r="F132" s="30"/>
      <c r="G132" s="30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spans="1:23">
      <c r="A133" s="30"/>
      <c r="B133" s="30"/>
      <c r="C133" s="30"/>
      <c r="D133" s="30"/>
      <c r="E133" s="30"/>
      <c r="F133" s="30"/>
      <c r="G133" s="30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 spans="1:23">
      <c r="A134" s="30"/>
      <c r="B134" s="30"/>
      <c r="C134" s="30"/>
      <c r="D134" s="30"/>
      <c r="E134" s="30"/>
      <c r="F134" s="30"/>
      <c r="G134" s="30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spans="1:23">
      <c r="A135" s="30"/>
      <c r="B135" s="30"/>
      <c r="C135" s="30"/>
      <c r="D135" s="30"/>
      <c r="E135" s="30"/>
      <c r="F135" s="30"/>
      <c r="G135" s="30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spans="1:23">
      <c r="A136" s="30"/>
      <c r="B136" s="30"/>
      <c r="C136" s="30"/>
      <c r="D136" s="30"/>
      <c r="E136" s="30"/>
      <c r="F136" s="30"/>
      <c r="G136" s="30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 spans="1:23">
      <c r="A137" s="30"/>
      <c r="B137" s="30"/>
      <c r="C137" s="30"/>
      <c r="D137" s="30"/>
      <c r="E137" s="30"/>
      <c r="F137" s="30"/>
      <c r="G137" s="30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 spans="1:23">
      <c r="A138" s="30"/>
      <c r="B138" s="30"/>
      <c r="C138" s="30"/>
      <c r="D138" s="30"/>
      <c r="E138" s="30"/>
      <c r="F138" s="30"/>
      <c r="G138" s="30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spans="1:23">
      <c r="A139" s="30"/>
      <c r="B139" s="30"/>
      <c r="C139" s="30"/>
      <c r="D139" s="30"/>
      <c r="E139" s="30"/>
      <c r="F139" s="30"/>
      <c r="G139" s="30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 spans="1:23">
      <c r="A140" s="30"/>
      <c r="B140" s="30"/>
      <c r="C140" s="30"/>
      <c r="D140" s="30"/>
      <c r="E140" s="30"/>
      <c r="F140" s="30"/>
      <c r="G140" s="30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spans="1:23">
      <c r="A141" s="30"/>
      <c r="B141" s="30"/>
      <c r="C141" s="30"/>
      <c r="D141" s="30"/>
      <c r="E141" s="30"/>
      <c r="F141" s="30"/>
      <c r="G141" s="30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 spans="1:23">
      <c r="A142" s="30"/>
      <c r="B142" s="30"/>
      <c r="C142" s="30"/>
      <c r="D142" s="30"/>
      <c r="E142" s="30"/>
      <c r="F142" s="30"/>
      <c r="G142" s="30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spans="1:23">
      <c r="A143" s="30"/>
      <c r="B143" s="30"/>
      <c r="C143" s="30"/>
      <c r="D143" s="30"/>
      <c r="E143" s="30"/>
      <c r="F143" s="30"/>
      <c r="G143" s="30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 spans="1:23">
      <c r="A144" s="30"/>
      <c r="B144" s="30"/>
      <c r="C144" s="30"/>
      <c r="D144" s="30"/>
      <c r="E144" s="30"/>
      <c r="F144" s="30"/>
      <c r="G144" s="30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 spans="1:23">
      <c r="A145" s="30"/>
      <c r="B145" s="30"/>
      <c r="C145" s="30"/>
      <c r="D145" s="30"/>
      <c r="E145" s="30"/>
      <c r="F145" s="30"/>
      <c r="G145" s="30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 spans="1:23">
      <c r="A146" s="30"/>
      <c r="B146" s="30"/>
      <c r="C146" s="30"/>
      <c r="D146" s="30"/>
      <c r="E146" s="30"/>
      <c r="F146" s="30"/>
      <c r="G146" s="30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 spans="1:23">
      <c r="A147" s="30"/>
      <c r="B147" s="30"/>
      <c r="C147" s="30"/>
      <c r="D147" s="30"/>
      <c r="E147" s="30"/>
      <c r="F147" s="30"/>
      <c r="G147" s="30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 spans="1:23">
      <c r="A148" s="30"/>
      <c r="B148" s="30"/>
      <c r="C148" s="30"/>
      <c r="D148" s="30"/>
      <c r="E148" s="30"/>
      <c r="F148" s="30"/>
      <c r="G148" s="30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 spans="1:23">
      <c r="A149" s="30"/>
      <c r="B149" s="30"/>
      <c r="C149" s="30"/>
      <c r="D149" s="30"/>
      <c r="E149" s="30"/>
      <c r="F149" s="30"/>
      <c r="G149" s="30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 spans="1:23">
      <c r="A150" s="30"/>
      <c r="B150" s="30"/>
      <c r="C150" s="30"/>
      <c r="D150" s="30"/>
      <c r="E150" s="30"/>
      <c r="F150" s="30"/>
      <c r="G150" s="30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 spans="1:23">
      <c r="A151" s="30"/>
      <c r="B151" s="30"/>
      <c r="C151" s="30"/>
      <c r="D151" s="30"/>
      <c r="E151" s="30"/>
      <c r="F151" s="30"/>
      <c r="G151" s="30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 spans="1:23">
      <c r="A152" s="30"/>
      <c r="B152" s="30"/>
      <c r="C152" s="30"/>
      <c r="D152" s="30"/>
      <c r="E152" s="30"/>
      <c r="F152" s="30"/>
      <c r="G152" s="30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 spans="1:23">
      <c r="A153" s="30"/>
      <c r="B153" s="30"/>
      <c r="C153" s="30"/>
      <c r="D153" s="30"/>
      <c r="E153" s="30"/>
      <c r="F153" s="30"/>
      <c r="G153" s="30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 spans="1:23">
      <c r="A154" s="30"/>
      <c r="B154" s="30"/>
      <c r="C154" s="30"/>
      <c r="D154" s="30"/>
      <c r="E154" s="30"/>
      <c r="F154" s="30"/>
      <c r="G154" s="30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spans="1:23">
      <c r="A155" s="30"/>
      <c r="B155" s="30"/>
      <c r="C155" s="30"/>
      <c r="D155" s="30"/>
      <c r="E155" s="30"/>
      <c r="F155" s="30"/>
      <c r="G155" s="30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spans="1:23">
      <c r="A156" s="30"/>
      <c r="B156" s="30"/>
      <c r="C156" s="30"/>
      <c r="D156" s="30"/>
      <c r="E156" s="30"/>
      <c r="F156" s="30"/>
      <c r="G156" s="30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 spans="1:23">
      <c r="A157" s="30"/>
      <c r="B157" s="30"/>
      <c r="C157" s="30"/>
      <c r="D157" s="30"/>
      <c r="E157" s="30"/>
      <c r="F157" s="30"/>
      <c r="G157" s="30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spans="1:23">
      <c r="A158" s="30"/>
      <c r="B158" s="30"/>
      <c r="C158" s="30"/>
      <c r="D158" s="30"/>
      <c r="E158" s="30"/>
      <c r="F158" s="30"/>
      <c r="G158" s="30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 spans="1:23">
      <c r="A159" s="30"/>
      <c r="B159" s="30"/>
      <c r="C159" s="30"/>
      <c r="D159" s="30"/>
      <c r="E159" s="30"/>
      <c r="F159" s="30"/>
      <c r="G159" s="30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 spans="1:23">
      <c r="A160" s="30"/>
      <c r="B160" s="30"/>
      <c r="C160" s="30"/>
      <c r="D160" s="30"/>
      <c r="E160" s="30"/>
      <c r="F160" s="30"/>
      <c r="G160" s="30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 spans="1:43">
      <c r="A161" s="30"/>
      <c r="B161" s="30"/>
      <c r="C161" s="30"/>
      <c r="D161" s="30"/>
      <c r="E161" s="30"/>
      <c r="F161" s="30"/>
      <c r="G161" s="30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 spans="1:43">
      <c r="A162" s="30"/>
      <c r="B162" s="30"/>
      <c r="C162" s="30"/>
      <c r="D162" s="30"/>
      <c r="E162" s="30"/>
      <c r="F162" s="30"/>
      <c r="G162" s="30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</row>
    <row r="163" spans="1:43">
      <c r="A163" s="30"/>
      <c r="B163" s="30"/>
      <c r="C163" s="30"/>
      <c r="D163" s="30"/>
      <c r="E163" s="30"/>
      <c r="F163" s="30"/>
      <c r="G163" s="30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 spans="1:43">
      <c r="A164" s="30"/>
      <c r="B164" s="30"/>
      <c r="C164" s="30"/>
      <c r="D164" s="30"/>
      <c r="E164" s="30"/>
      <c r="F164" s="30"/>
      <c r="G164" s="30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</row>
    <row r="165" spans="1:43">
      <c r="A165" s="30"/>
      <c r="B165" s="30"/>
      <c r="C165" s="30"/>
      <c r="D165" s="30"/>
      <c r="E165" s="30"/>
      <c r="F165" s="30"/>
      <c r="G165" s="30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 spans="1:43">
      <c r="A166" s="30"/>
      <c r="B166" s="30"/>
      <c r="C166" s="30"/>
      <c r="D166" s="30"/>
      <c r="E166" s="30"/>
      <c r="F166" s="30"/>
      <c r="G166" s="30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</row>
    <row r="167" spans="1:43">
      <c r="A167" s="30"/>
      <c r="B167" s="30"/>
      <c r="C167" s="30"/>
      <c r="D167" s="30"/>
      <c r="E167" s="30"/>
      <c r="F167" s="30"/>
      <c r="G167" s="30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 spans="1:43">
      <c r="A168" s="30"/>
      <c r="B168" s="30"/>
      <c r="C168" s="30"/>
      <c r="D168" s="30"/>
      <c r="E168" s="30"/>
      <c r="F168" s="30"/>
      <c r="G168" s="30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 spans="1:43">
      <c r="A169" s="30"/>
      <c r="B169" s="30"/>
      <c r="C169" s="30"/>
      <c r="D169" s="30"/>
      <c r="E169" s="30"/>
      <c r="F169" s="30"/>
      <c r="G169" s="30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</row>
    <row r="170" spans="1:43">
      <c r="A170" s="30"/>
      <c r="B170" s="30"/>
      <c r="C170" s="30"/>
      <c r="D170" s="30"/>
      <c r="E170" s="30"/>
      <c r="F170" s="30"/>
      <c r="G170" s="30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</row>
    <row r="171" spans="1:43">
      <c r="A171" s="30"/>
      <c r="B171" s="30"/>
      <c r="C171" s="30"/>
      <c r="D171" s="30"/>
      <c r="E171" s="30"/>
      <c r="F171" s="30"/>
      <c r="G171" s="30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 spans="1:43">
      <c r="A172" s="30"/>
      <c r="B172" s="30"/>
      <c r="C172" s="30"/>
      <c r="D172" s="30"/>
      <c r="E172" s="30"/>
      <c r="F172" s="30"/>
      <c r="G172" s="30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</row>
    <row r="173" spans="1:43">
      <c r="A173" s="30"/>
      <c r="B173" s="30"/>
      <c r="C173" s="30"/>
      <c r="D173" s="30"/>
      <c r="E173" s="30"/>
      <c r="F173" s="30"/>
      <c r="G173" s="30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</row>
    <row r="174" spans="1:43">
      <c r="A174" s="30"/>
      <c r="B174" s="30"/>
      <c r="C174" s="30"/>
      <c r="D174" s="30"/>
      <c r="E174" s="30"/>
      <c r="F174" s="30"/>
      <c r="G174" s="30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 spans="1:43">
      <c r="A175" s="30"/>
      <c r="B175" s="30"/>
      <c r="C175" s="30"/>
      <c r="D175" s="30"/>
      <c r="E175" s="30"/>
      <c r="F175" s="30"/>
      <c r="G175" s="30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</row>
    <row r="176" spans="1:43">
      <c r="A176" s="30"/>
      <c r="B176" s="30"/>
      <c r="C176" s="30"/>
      <c r="D176" s="30"/>
      <c r="E176" s="30"/>
      <c r="F176" s="30"/>
      <c r="G176" s="30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</row>
    <row r="177" spans="1:43">
      <c r="A177" s="30"/>
      <c r="B177" s="30"/>
      <c r="C177" s="30"/>
      <c r="D177" s="30"/>
      <c r="E177" s="30"/>
      <c r="F177" s="30"/>
      <c r="G177" s="30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</row>
    <row r="178" spans="1:43">
      <c r="A178" s="30"/>
      <c r="B178" s="30"/>
      <c r="C178" s="30"/>
      <c r="D178" s="30"/>
      <c r="E178" s="30"/>
      <c r="F178" s="30"/>
      <c r="G178" s="30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</row>
    <row r="179" spans="1:43">
      <c r="A179" s="30"/>
      <c r="B179" s="30"/>
      <c r="C179" s="30"/>
      <c r="D179" s="30"/>
      <c r="E179" s="30"/>
      <c r="F179" s="30"/>
      <c r="G179" s="30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</row>
    <row r="180" spans="1:43">
      <c r="A180" s="30"/>
      <c r="B180" s="30"/>
      <c r="C180" s="30"/>
      <c r="D180" s="30"/>
      <c r="E180" s="30"/>
      <c r="F180" s="30"/>
      <c r="G180" s="30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</row>
    <row r="181" spans="1:43">
      <c r="A181" s="30"/>
      <c r="B181" s="30"/>
      <c r="C181" s="30"/>
      <c r="D181" s="30"/>
      <c r="E181" s="30"/>
      <c r="F181" s="30"/>
      <c r="G181" s="30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</row>
    <row r="182" spans="1:43">
      <c r="A182" s="30"/>
      <c r="B182" s="30"/>
      <c r="C182" s="30"/>
      <c r="D182" s="30"/>
      <c r="E182" s="30"/>
      <c r="F182" s="30"/>
      <c r="G182" s="30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</row>
    <row r="183" spans="1:43">
      <c r="A183" s="17"/>
      <c r="B183" s="17"/>
      <c r="C183" s="17"/>
      <c r="D183" s="17"/>
      <c r="E183" s="17"/>
      <c r="F183" s="17"/>
      <c r="G183" s="19"/>
      <c r="H183" s="17"/>
      <c r="I183" s="17"/>
      <c r="J183" s="17"/>
      <c r="K183" s="17"/>
      <c r="L183" s="17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</row>
    <row r="184" spans="1:43">
      <c r="A184" s="17"/>
      <c r="B184" s="17"/>
      <c r="C184" s="17"/>
      <c r="D184" s="17"/>
      <c r="E184" s="17"/>
      <c r="F184" s="17"/>
      <c r="G184" s="19"/>
      <c r="H184" s="17"/>
      <c r="I184" s="17"/>
      <c r="J184" s="17"/>
      <c r="K184" s="17"/>
      <c r="L184" s="17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</row>
    <row r="185" spans="1:43">
      <c r="A185" s="17"/>
      <c r="B185" s="17"/>
      <c r="C185" s="17"/>
      <c r="D185" s="17"/>
      <c r="E185" s="17"/>
      <c r="F185" s="17"/>
      <c r="G185" s="19"/>
      <c r="H185" s="17"/>
      <c r="I185" s="17"/>
      <c r="J185" s="17"/>
      <c r="K185" s="17"/>
      <c r="L185" s="17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</row>
    <row r="186" spans="1:43">
      <c r="A186" s="17"/>
      <c r="B186" s="17"/>
      <c r="C186" s="17"/>
      <c r="D186" s="17"/>
      <c r="E186" s="17"/>
      <c r="F186" s="17"/>
      <c r="G186" s="19"/>
      <c r="H186" s="17"/>
      <c r="I186" s="17"/>
      <c r="J186" s="17"/>
      <c r="K186" s="17"/>
      <c r="L186" s="17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</row>
    <row r="187" spans="1:43">
      <c r="A187" s="17"/>
      <c r="B187" s="17"/>
      <c r="C187" s="17"/>
      <c r="D187" s="17"/>
      <c r="E187" s="17"/>
      <c r="F187" s="17"/>
      <c r="G187" s="19"/>
      <c r="H187" s="17"/>
      <c r="I187" s="17"/>
      <c r="J187" s="17"/>
      <c r="K187" s="17"/>
      <c r="L187" s="17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</row>
    <row r="188" spans="1:43">
      <c r="A188" s="17"/>
      <c r="B188" s="17"/>
      <c r="C188" s="17"/>
      <c r="D188" s="17"/>
      <c r="E188" s="17"/>
      <c r="F188" s="17"/>
      <c r="G188" s="19"/>
      <c r="H188" s="17"/>
      <c r="I188" s="17"/>
      <c r="J188" s="17"/>
      <c r="K188" s="17"/>
      <c r="L188" s="17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</row>
    <row r="189" spans="1:43">
      <c r="A189" s="17"/>
      <c r="B189" s="17"/>
      <c r="C189" s="17"/>
      <c r="D189" s="17"/>
      <c r="E189" s="17"/>
      <c r="F189" s="17"/>
      <c r="G189" s="19"/>
      <c r="H189" s="17"/>
      <c r="I189" s="17"/>
      <c r="J189" s="17"/>
      <c r="K189" s="17"/>
      <c r="L189" s="17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</row>
    <row r="190" spans="1:43">
      <c r="A190" s="17"/>
      <c r="B190" s="17"/>
      <c r="C190" s="17"/>
      <c r="D190" s="17"/>
      <c r="E190" s="17"/>
      <c r="F190" s="17"/>
      <c r="G190" s="19"/>
      <c r="H190" s="17"/>
      <c r="I190" s="17"/>
      <c r="J190" s="17"/>
      <c r="K190" s="17"/>
      <c r="L190" s="17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</row>
    <row r="191" spans="1:43"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</row>
    <row r="192" spans="1:43"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</row>
    <row r="193" spans="13:43"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</row>
    <row r="194" spans="13:43"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</row>
    <row r="195" spans="13:43"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</row>
    <row r="196" spans="13:43"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</row>
    <row r="197" spans="13:43"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</row>
    <row r="198" spans="13:43"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</row>
    <row r="199" spans="13:43"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</row>
    <row r="200" spans="13:43"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</row>
    <row r="201" spans="13:43"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</row>
    <row r="202" spans="13:43"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</row>
    <row r="203" spans="13:43"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</row>
    <row r="204" spans="13:43"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</row>
    <row r="205" spans="13:43"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</row>
    <row r="206" spans="13:43"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</row>
    <row r="207" spans="13:43"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</row>
    <row r="208" spans="13:43"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</row>
    <row r="209" spans="13:43"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</row>
    <row r="210" spans="13:43"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</row>
    <row r="211" spans="13:43"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</row>
    <row r="212" spans="13:43"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</row>
    <row r="213" spans="13:43"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</row>
    <row r="214" spans="13:43"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</row>
    <row r="215" spans="13:43"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</row>
    <row r="216" spans="13:43"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</row>
    <row r="217" spans="13:43"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</row>
    <row r="218" spans="13:43"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</row>
    <row r="219" spans="13:43"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</row>
    <row r="220" spans="13:43"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</row>
    <row r="221" spans="13:43"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</row>
    <row r="222" spans="13:43"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</row>
    <row r="223" spans="13:43"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</row>
    <row r="224" spans="13:43"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</row>
    <row r="225" spans="13:43"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</row>
    <row r="226" spans="13:43"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</row>
    <row r="227" spans="13:43"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</row>
    <row r="228" spans="13:43"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</row>
    <row r="229" spans="13:43"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</row>
    <row r="230" spans="13:43"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</row>
    <row r="231" spans="13:43"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</row>
    <row r="232" spans="13:43"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</row>
    <row r="233" spans="13:43"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</row>
    <row r="234" spans="13:43"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</row>
    <row r="235" spans="13:43"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</row>
    <row r="236" spans="13:43"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</row>
    <row r="237" spans="13:43"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</row>
    <row r="238" spans="13:43"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</row>
    <row r="239" spans="13:43"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</row>
    <row r="240" spans="13:43"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</row>
    <row r="241" spans="13:43"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</row>
    <row r="242" spans="13:43"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</row>
    <row r="243" spans="13:43"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</row>
    <row r="244" spans="13:43"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</row>
    <row r="245" spans="13:43"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</row>
    <row r="246" spans="13:43"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</row>
    <row r="247" spans="13:43"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</row>
    <row r="248" spans="13:43"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</row>
    <row r="249" spans="13:43"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</row>
    <row r="250" spans="13:43"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</row>
    <row r="251" spans="13:43"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</row>
    <row r="252" spans="13:43"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</row>
    <row r="253" spans="13:43"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</row>
    <row r="254" spans="13:43"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</row>
    <row r="255" spans="13:43"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</row>
    <row r="256" spans="13:43"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</row>
    <row r="257" spans="13:43"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</row>
    <row r="258" spans="13:43"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</row>
    <row r="259" spans="13:43"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</row>
    <row r="260" spans="13:43"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</row>
    <row r="261" spans="13:43"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</row>
    <row r="262" spans="13:43"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</row>
    <row r="263" spans="13:43"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</row>
    <row r="264" spans="13:43"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</row>
    <row r="265" spans="13:43"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</row>
    <row r="266" spans="13:43"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</row>
    <row r="267" spans="13:43"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</row>
    <row r="268" spans="13:43"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</row>
    <row r="269" spans="13:43"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</row>
    <row r="270" spans="13:43"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</row>
    <row r="271" spans="13:43"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</row>
    <row r="272" spans="13:43"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</row>
    <row r="273" spans="13:43"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</row>
    <row r="274" spans="13:43"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</row>
    <row r="275" spans="13:43"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</row>
    <row r="276" spans="13:43"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</row>
    <row r="277" spans="13:43"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</row>
    <row r="278" spans="13:43"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</row>
    <row r="279" spans="13:43"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</row>
    <row r="280" spans="13:43"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</row>
    <row r="281" spans="13:43"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</row>
    <row r="282" spans="13:43"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</row>
    <row r="283" spans="13:43"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</row>
    <row r="284" spans="13:43"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</row>
    <row r="285" spans="13:43"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</row>
    <row r="286" spans="13:43"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</row>
    <row r="287" spans="13:43"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</row>
    <row r="288" spans="13:43"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</row>
    <row r="289" spans="13:43"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</row>
    <row r="290" spans="13:43"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</row>
    <row r="291" spans="13:43"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</row>
    <row r="292" spans="13:43"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</row>
    <row r="293" spans="13:43"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</row>
    <row r="294" spans="13:43"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</row>
    <row r="295" spans="13:43"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</row>
    <row r="296" spans="13:43"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</row>
    <row r="297" spans="13:43"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</row>
    <row r="298" spans="13:43"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</row>
    <row r="299" spans="13:43"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</row>
    <row r="300" spans="13:43"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</row>
    <row r="301" spans="13:43"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</row>
    <row r="302" spans="13:43"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</row>
    <row r="303" spans="13:43"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</row>
    <row r="304" spans="13:43"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</row>
    <row r="305" spans="13:43"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</row>
    <row r="306" spans="13:43"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</row>
    <row r="307" spans="13:43"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</row>
    <row r="308" spans="13:43"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</row>
    <row r="309" spans="13:43"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</row>
    <row r="310" spans="13:43"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</row>
    <row r="311" spans="13:43"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</row>
    <row r="312" spans="13:43"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</row>
    <row r="313" spans="13:43"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</row>
    <row r="314" spans="13:43"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</row>
    <row r="315" spans="13:43"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</row>
    <row r="316" spans="13:43"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</row>
    <row r="317" spans="13:43"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</row>
    <row r="318" spans="13:43"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</row>
    <row r="319" spans="13:43"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</row>
    <row r="320" spans="13:43"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</row>
    <row r="321" spans="13:43"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</row>
    <row r="322" spans="13:43"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</row>
    <row r="323" spans="13:43"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</row>
    <row r="324" spans="13:43"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</row>
    <row r="325" spans="13:43"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</row>
    <row r="326" spans="13:43"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</row>
    <row r="327" spans="13:43"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</row>
    <row r="328" spans="13:43"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</row>
    <row r="329" spans="13:43"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</row>
    <row r="330" spans="13:43"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</row>
    <row r="331" spans="13:43"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</row>
    <row r="332" spans="13:43"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</row>
    <row r="333" spans="13:43"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</row>
    <row r="334" spans="13:43"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</row>
    <row r="335" spans="13:43"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</row>
    <row r="336" spans="13:43"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</row>
    <row r="337" spans="13:43"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</row>
    <row r="338" spans="13:43"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</row>
    <row r="339" spans="13:43"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</row>
    <row r="340" spans="13:43"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</row>
    <row r="341" spans="13:43"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</row>
    <row r="342" spans="13:43"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</row>
    <row r="343" spans="13:43"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</row>
    <row r="344" spans="13:43"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</row>
    <row r="345" spans="13:43"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</row>
    <row r="346" spans="13:43"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</row>
    <row r="347" spans="13:43"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</row>
    <row r="348" spans="13:43"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</row>
    <row r="349" spans="13:43"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</row>
    <row r="350" spans="13:43"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</row>
    <row r="351" spans="13:43"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</row>
    <row r="352" spans="13:43"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</row>
    <row r="353" spans="13:43"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</row>
    <row r="354" spans="13:43"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</row>
    <row r="355" spans="13:43"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</row>
    <row r="356" spans="13:43"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</row>
    <row r="357" spans="13:43"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</row>
    <row r="358" spans="13:43"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</row>
    <row r="359" spans="13:43"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</row>
    <row r="360" spans="13:43"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</row>
    <row r="361" spans="13:43"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</row>
    <row r="362" spans="13:43"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</row>
    <row r="363" spans="13:43"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</row>
    <row r="364" spans="13:43"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</row>
    <row r="365" spans="13:43"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</row>
    <row r="366" spans="13:43"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</row>
    <row r="367" spans="13:43"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</row>
    <row r="368" spans="13:43"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</row>
    <row r="369" spans="13:43"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</row>
    <row r="370" spans="13:43"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</row>
    <row r="371" spans="13:43"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</row>
    <row r="372" spans="13:43"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</row>
    <row r="373" spans="13:43"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</row>
    <row r="374" spans="13:43"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</row>
    <row r="375" spans="13:43"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</row>
    <row r="376" spans="13:43"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</row>
    <row r="377" spans="13:43"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</row>
    <row r="378" spans="13:43"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</row>
    <row r="379" spans="13:43"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</row>
    <row r="380" spans="13:43"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</row>
    <row r="381" spans="13:43"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</row>
    <row r="382" spans="13:43"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</row>
    <row r="383" spans="13:43"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</row>
    <row r="384" spans="13:43"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</row>
    <row r="385" spans="13:43"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</row>
    <row r="386" spans="13:43"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</row>
    <row r="387" spans="13:43"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</row>
    <row r="388" spans="13:43"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</row>
    <row r="389" spans="13:43"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</row>
    <row r="390" spans="13:43"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</row>
    <row r="391" spans="13:43"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</row>
    <row r="392" spans="13:43"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</row>
    <row r="393" spans="13:43"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</row>
    <row r="394" spans="13:43"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</row>
    <row r="395" spans="13:43"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</row>
    <row r="396" spans="13:43"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</row>
    <row r="397" spans="13:43"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</row>
    <row r="398" spans="13:43"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</row>
    <row r="399" spans="13:43"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</row>
    <row r="400" spans="13:43"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</row>
    <row r="401" spans="13:43"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</row>
    <row r="402" spans="13:43"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</row>
    <row r="403" spans="13:43"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</row>
    <row r="404" spans="13:43"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</row>
    <row r="405" spans="13:43"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</row>
    <row r="406" spans="13:43"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</row>
    <row r="407" spans="13:43"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</row>
    <row r="408" spans="13:43"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</row>
    <row r="409" spans="13:43"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</row>
    <row r="410" spans="13:43"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</row>
    <row r="411" spans="13:43"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</row>
    <row r="412" spans="13:43"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</row>
    <row r="413" spans="13:43"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</row>
    <row r="414" spans="13:43"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</row>
    <row r="415" spans="13:43"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</row>
    <row r="416" spans="13:43"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</row>
    <row r="417" spans="13:43"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</row>
    <row r="418" spans="13:43"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</row>
    <row r="419" spans="13:43"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</row>
    <row r="420" spans="13:43"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</row>
    <row r="421" spans="13:43"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</row>
    <row r="422" spans="13:43"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</row>
    <row r="423" spans="13:43"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</row>
    <row r="424" spans="13:43"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</row>
    <row r="425" spans="13:43"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</row>
    <row r="426" spans="13:43"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</row>
    <row r="427" spans="13:43"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</row>
    <row r="428" spans="13:43"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</row>
    <row r="429" spans="13:43"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</row>
    <row r="430" spans="13:43"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</row>
    <row r="431" spans="13:43"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</row>
    <row r="432" spans="13:43"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</row>
    <row r="433" spans="13:43"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</row>
    <row r="434" spans="13:43"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</row>
    <row r="435" spans="13:43"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</row>
    <row r="436" spans="13:43"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</row>
    <row r="437" spans="13:43"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</row>
    <row r="438" spans="13:43"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</row>
    <row r="439" spans="13:43"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</row>
    <row r="440" spans="13:43"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</row>
    <row r="441" spans="13:43"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</row>
    <row r="442" spans="13:43"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</row>
    <row r="443" spans="13:43"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</row>
    <row r="444" spans="13:43"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</row>
    <row r="445" spans="13:43"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</row>
    <row r="446" spans="13:43"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</row>
    <row r="447" spans="13:43"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</row>
    <row r="448" spans="13:43"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</row>
    <row r="449" spans="13:43"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</row>
    <row r="450" spans="13:43"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</row>
    <row r="451" spans="13:43"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</row>
    <row r="452" spans="13:43"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</row>
    <row r="453" spans="13:43"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</row>
    <row r="454" spans="13:43"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</row>
    <row r="455" spans="13:43"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</row>
    <row r="456" spans="13:43"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</row>
    <row r="457" spans="13:43"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</row>
    <row r="458" spans="13:43"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</row>
    <row r="459" spans="13:43"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</row>
    <row r="460" spans="13:43"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</row>
    <row r="461" spans="13:43"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</row>
    <row r="462" spans="13:43"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</row>
    <row r="463" spans="13:43"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</row>
    <row r="464" spans="13:43"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</row>
    <row r="465" spans="13:43"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</row>
    <row r="466" spans="13:43"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</row>
    <row r="467" spans="13:43"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</row>
    <row r="468" spans="13:43"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</row>
    <row r="469" spans="13:43"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</row>
    <row r="470" spans="13:43"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</row>
    <row r="471" spans="13:43"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</row>
    <row r="472" spans="13:43"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</row>
    <row r="473" spans="13:43"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</row>
    <row r="474" spans="13:43"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</row>
    <row r="475" spans="13:43"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</row>
    <row r="476" spans="13:43"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</row>
    <row r="477" spans="13:43"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</row>
    <row r="478" spans="13:43"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</row>
    <row r="479" spans="13:43"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</row>
    <row r="480" spans="13:43"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</row>
    <row r="481" spans="13:43"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</row>
    <row r="482" spans="13:43"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</row>
    <row r="483" spans="13:43"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</row>
    <row r="484" spans="13:43"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</row>
    <row r="485" spans="13:43"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</row>
    <row r="486" spans="13:43"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</row>
    <row r="487" spans="13:43"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</row>
    <row r="488" spans="13:43"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</row>
    <row r="489" spans="13:43"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</row>
    <row r="490" spans="13:43"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</row>
    <row r="491" spans="13:43"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</row>
    <row r="492" spans="13:43"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</row>
    <row r="493" spans="13:43"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</row>
    <row r="494" spans="13:43"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</row>
    <row r="495" spans="13:43"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</row>
    <row r="496" spans="13:43"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</row>
    <row r="497" spans="13:43"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</row>
    <row r="498" spans="13:43"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</row>
    <row r="499" spans="13:43"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</row>
    <row r="500" spans="13:43"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</row>
    <row r="501" spans="13:43"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</row>
    <row r="502" spans="13:43"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</row>
    <row r="503" spans="13:43"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</row>
    <row r="504" spans="13:43"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</row>
    <row r="505" spans="13:43"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</row>
    <row r="506" spans="13:43"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</row>
    <row r="507" spans="13:43"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</row>
    <row r="508" spans="13:43"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</row>
    <row r="509" spans="13:43"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</row>
    <row r="510" spans="13:43"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</row>
    <row r="511" spans="13:43"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</row>
    <row r="512" spans="13:43"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</row>
    <row r="513" spans="13:43"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</row>
    <row r="514" spans="13:43"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</row>
    <row r="515" spans="13:43"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</row>
    <row r="516" spans="13:43"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</row>
    <row r="517" spans="13:43"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</row>
    <row r="518" spans="13:43"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</row>
    <row r="519" spans="13:43"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</row>
    <row r="520" spans="13:43"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</row>
    <row r="521" spans="13:43"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</row>
    <row r="522" spans="13:43"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</row>
    <row r="523" spans="13:43"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</row>
    <row r="524" spans="13:43"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</row>
    <row r="525" spans="13:43"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</row>
    <row r="526" spans="13:43"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</row>
    <row r="527" spans="13:43"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</row>
    <row r="528" spans="13:43"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</row>
    <row r="529" spans="13:43"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</row>
    <row r="530" spans="13:43"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</row>
    <row r="531" spans="13:43"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</row>
    <row r="532" spans="13:43"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</row>
    <row r="533" spans="13:43"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</row>
    <row r="534" spans="13:43"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</row>
    <row r="535" spans="13:43"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</row>
    <row r="536" spans="13:43"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</row>
    <row r="537" spans="13:43"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</row>
    <row r="538" spans="13:43"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</row>
    <row r="539" spans="13:43"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</row>
    <row r="540" spans="13:43"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</row>
    <row r="541" spans="13:43"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</row>
    <row r="542" spans="13:43"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</row>
    <row r="543" spans="13:43"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</row>
    <row r="544" spans="13:43"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</row>
    <row r="545" spans="13:43"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</row>
    <row r="546" spans="13:43"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</row>
    <row r="547" spans="13:43"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</row>
    <row r="548" spans="13:43"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</row>
    <row r="549" spans="13:43"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</row>
    <row r="550" spans="13:43"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</row>
    <row r="551" spans="13:43"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</row>
    <row r="552" spans="13:43"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</row>
    <row r="553" spans="13:43"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</row>
    <row r="554" spans="13:43"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</row>
    <row r="555" spans="13:43"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</row>
    <row r="556" spans="13:43"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</row>
    <row r="557" spans="13:43"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</row>
    <row r="558" spans="13:43"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</row>
    <row r="559" spans="13:43"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</row>
    <row r="560" spans="13:43"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</row>
    <row r="561" spans="13:43"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</row>
    <row r="562" spans="13:43"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</row>
    <row r="563" spans="13:43"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</row>
    <row r="564" spans="13:43"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</row>
    <row r="565" spans="13:43"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</row>
    <row r="566" spans="13:43"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</row>
    <row r="567" spans="13:43"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</row>
    <row r="568" spans="13:43"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</row>
    <row r="569" spans="13:43"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</row>
    <row r="570" spans="13:43"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</row>
    <row r="571" spans="13:43"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</row>
    <row r="572" spans="13:43"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</row>
    <row r="573" spans="13:43"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</row>
    <row r="574" spans="13:43"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</row>
    <row r="575" spans="13:43"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</row>
    <row r="576" spans="13:43"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</row>
    <row r="577" spans="13:43"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</row>
    <row r="578" spans="13:43"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</row>
    <row r="579" spans="13:43"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</row>
    <row r="580" spans="13:43"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</row>
    <row r="581" spans="13:43"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</row>
    <row r="582" spans="13:43"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</row>
    <row r="583" spans="13:43"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</row>
    <row r="584" spans="13:43"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</row>
    <row r="585" spans="13:43"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</row>
    <row r="586" spans="13:43"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</row>
    <row r="587" spans="13:43"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</row>
    <row r="588" spans="13:43"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</row>
    <row r="589" spans="13:43"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</row>
    <row r="590" spans="13:43"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</row>
    <row r="591" spans="13:43"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</row>
    <row r="592" spans="13:43"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</row>
    <row r="593" spans="13:43"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</row>
  </sheetData>
  <sheetProtection formatCells="0" formatColumns="0" formatRows="0" insertColumns="0" insertRows="0" insertHyperlinks="0" deleteColumns="0" deleteRows="0" sort="0" autoFilter="0" pivotTables="0"/>
  <protectedRanges>
    <protectedRange sqref="A1:G33" name="Диапазон1"/>
  </protectedRanges>
  <phoneticPr fontId="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/>
  <dimension ref="A1:I27"/>
  <sheetViews>
    <sheetView workbookViewId="0">
      <selection activeCell="K33" sqref="K33"/>
    </sheetView>
  </sheetViews>
  <sheetFormatPr defaultColWidth="9.109375" defaultRowHeight="14.4"/>
  <cols>
    <col min="1" max="1" width="21" style="2" bestFit="1" customWidth="1"/>
    <col min="2" max="16384" width="9.109375" style="2"/>
  </cols>
  <sheetData>
    <row r="1" spans="1:9">
      <c r="A1" s="87" t="s">
        <v>197</v>
      </c>
      <c r="B1" s="64" t="s">
        <v>215</v>
      </c>
      <c r="C1" s="64" t="s">
        <v>216</v>
      </c>
      <c r="D1" s="64" t="s">
        <v>217</v>
      </c>
      <c r="E1" s="64" t="s">
        <v>218</v>
      </c>
      <c r="F1" s="64" t="s">
        <v>219</v>
      </c>
      <c r="G1" s="64" t="s">
        <v>220</v>
      </c>
    </row>
    <row r="2" spans="1:9" ht="15.6">
      <c r="A2" s="88" t="s">
        <v>198</v>
      </c>
      <c r="B2" s="89">
        <v>95</v>
      </c>
      <c r="C2" s="89">
        <v>12</v>
      </c>
      <c r="D2" s="89">
        <v>12</v>
      </c>
      <c r="E2" s="89">
        <v>6</v>
      </c>
      <c r="F2" s="89">
        <v>3</v>
      </c>
      <c r="G2" s="89">
        <v>-12</v>
      </c>
      <c r="I2" s="7" t="s">
        <v>249</v>
      </c>
    </row>
    <row r="3" spans="1:9">
      <c r="A3" s="90" t="s">
        <v>199</v>
      </c>
      <c r="B3" s="91">
        <v>65</v>
      </c>
      <c r="C3" s="91">
        <v>35</v>
      </c>
      <c r="D3" s="91">
        <v>64</v>
      </c>
      <c r="E3" s="91">
        <v>4</v>
      </c>
      <c r="F3" s="91">
        <v>8</v>
      </c>
      <c r="G3" s="91">
        <v>13.43</v>
      </c>
      <c r="I3" s="2" t="s">
        <v>224</v>
      </c>
    </row>
    <row r="4" spans="1:9">
      <c r="A4" s="90" t="s">
        <v>200</v>
      </c>
      <c r="B4" s="91">
        <v>12</v>
      </c>
      <c r="C4" s="91">
        <v>-12</v>
      </c>
      <c r="D4" s="91">
        <v>32</v>
      </c>
      <c r="E4" s="91">
        <v>8</v>
      </c>
      <c r="F4" s="91">
        <v>35</v>
      </c>
      <c r="G4" s="91">
        <v>13.48</v>
      </c>
      <c r="I4" s="2" t="s">
        <v>223</v>
      </c>
    </row>
    <row r="5" spans="1:9">
      <c r="A5" s="90" t="s">
        <v>120</v>
      </c>
      <c r="B5" s="91" t="s">
        <v>221</v>
      </c>
      <c r="C5" s="91">
        <v>75</v>
      </c>
      <c r="D5" s="91">
        <v>94</v>
      </c>
      <c r="E5" s="91">
        <v>1</v>
      </c>
      <c r="F5" s="91">
        <v>6</v>
      </c>
      <c r="G5" s="91">
        <v>13.53</v>
      </c>
    </row>
    <row r="6" spans="1:9">
      <c r="A6" s="90" t="s">
        <v>201</v>
      </c>
      <c r="B6" s="91">
        <v>49</v>
      </c>
      <c r="C6" s="91">
        <v>12</v>
      </c>
      <c r="D6" s="91">
        <v>65</v>
      </c>
      <c r="E6" s="91">
        <v>3</v>
      </c>
      <c r="F6" s="91">
        <v>2</v>
      </c>
      <c r="G6" s="91">
        <v>12</v>
      </c>
    </row>
    <row r="7" spans="1:9">
      <c r="A7" s="90" t="s">
        <v>122</v>
      </c>
      <c r="B7" s="91">
        <v>65</v>
      </c>
      <c r="C7" s="91">
        <v>35</v>
      </c>
      <c r="D7" s="91">
        <v>12</v>
      </c>
      <c r="E7" s="91">
        <v>8</v>
      </c>
      <c r="F7" s="91">
        <v>75</v>
      </c>
      <c r="G7" s="91">
        <v>64</v>
      </c>
    </row>
    <row r="8" spans="1:9">
      <c r="A8" s="90" t="s">
        <v>123</v>
      </c>
      <c r="B8" s="91">
        <v>5</v>
      </c>
      <c r="C8" s="91">
        <v>64</v>
      </c>
      <c r="D8" s="91">
        <v>64</v>
      </c>
      <c r="E8" s="91">
        <v>35</v>
      </c>
      <c r="F8" s="91">
        <v>3</v>
      </c>
      <c r="G8" s="91">
        <v>32</v>
      </c>
    </row>
    <row r="9" spans="1:9">
      <c r="A9" s="90" t="s">
        <v>202</v>
      </c>
      <c r="B9" s="91">
        <v>95</v>
      </c>
      <c r="C9" s="91">
        <v>75</v>
      </c>
      <c r="D9" s="91">
        <v>32</v>
      </c>
      <c r="E9" s="91">
        <v>-12</v>
      </c>
      <c r="F9" s="91">
        <v>8</v>
      </c>
      <c r="G9" s="91">
        <v>94</v>
      </c>
    </row>
    <row r="10" spans="1:9">
      <c r="A10" s="90" t="s">
        <v>203</v>
      </c>
      <c r="B10" s="91">
        <v>1</v>
      </c>
      <c r="C10" s="91">
        <v>12</v>
      </c>
      <c r="D10" s="91">
        <v>94</v>
      </c>
      <c r="E10" s="91">
        <v>2</v>
      </c>
      <c r="F10" s="91">
        <v>35</v>
      </c>
      <c r="G10" s="91">
        <v>65</v>
      </c>
    </row>
    <row r="11" spans="1:9">
      <c r="A11" s="90" t="s">
        <v>204</v>
      </c>
      <c r="B11" s="91">
        <v>23</v>
      </c>
      <c r="C11" s="91">
        <v>35</v>
      </c>
      <c r="D11" s="91">
        <v>65</v>
      </c>
      <c r="E11" s="91">
        <v>36</v>
      </c>
      <c r="F11" s="91">
        <v>6</v>
      </c>
      <c r="G11" s="91" t="s">
        <v>124</v>
      </c>
    </row>
    <row r="12" spans="1:9">
      <c r="A12" s="90" t="s">
        <v>205</v>
      </c>
      <c r="B12" s="91">
        <v>5</v>
      </c>
      <c r="C12" s="91">
        <v>64</v>
      </c>
      <c r="D12" s="91">
        <v>75</v>
      </c>
      <c r="E12" s="91">
        <v>94</v>
      </c>
      <c r="F12" s="91">
        <v>2</v>
      </c>
      <c r="G12" s="91">
        <v>3</v>
      </c>
    </row>
    <row r="13" spans="1:9">
      <c r="A13" s="90" t="s">
        <v>206</v>
      </c>
      <c r="B13" s="91">
        <v>35</v>
      </c>
      <c r="C13" s="91">
        <v>75</v>
      </c>
      <c r="D13" s="91">
        <v>12</v>
      </c>
      <c r="E13" s="91">
        <v>65</v>
      </c>
      <c r="F13" s="91">
        <v>75</v>
      </c>
      <c r="G13" s="91">
        <v>8</v>
      </c>
    </row>
    <row r="14" spans="1:9">
      <c r="A14" s="90" t="s">
        <v>125</v>
      </c>
      <c r="B14" s="91">
        <v>-12</v>
      </c>
      <c r="C14" s="91">
        <v>12</v>
      </c>
      <c r="D14" s="91">
        <v>64</v>
      </c>
      <c r="E14" s="91">
        <v>3</v>
      </c>
      <c r="F14" s="91">
        <v>3</v>
      </c>
      <c r="G14" s="91">
        <v>35</v>
      </c>
    </row>
    <row r="15" spans="1:9">
      <c r="A15" s="90" t="s">
        <v>207</v>
      </c>
      <c r="B15" s="91">
        <v>1</v>
      </c>
      <c r="C15" s="91">
        <v>35</v>
      </c>
      <c r="D15" s="91">
        <v>32</v>
      </c>
      <c r="E15" s="91">
        <v>8</v>
      </c>
      <c r="F15" s="91">
        <v>8</v>
      </c>
      <c r="G15" s="91">
        <v>6</v>
      </c>
    </row>
    <row r="16" spans="1:9">
      <c r="A16" s="90" t="s">
        <v>208</v>
      </c>
      <c r="B16" s="91">
        <v>45</v>
      </c>
      <c r="C16" s="91">
        <v>64</v>
      </c>
      <c r="D16" s="91">
        <v>94</v>
      </c>
      <c r="E16" s="91">
        <v>35</v>
      </c>
      <c r="F16" s="91">
        <v>35</v>
      </c>
      <c r="G16" s="91">
        <v>3</v>
      </c>
    </row>
    <row r="17" spans="1:7">
      <c r="A17" s="90" t="s">
        <v>209</v>
      </c>
      <c r="B17" s="91">
        <v>68</v>
      </c>
      <c r="C17" s="91">
        <v>75</v>
      </c>
      <c r="D17" s="91">
        <v>65</v>
      </c>
      <c r="E17" s="91">
        <v>6</v>
      </c>
      <c r="F17" s="91">
        <v>6</v>
      </c>
      <c r="G17" s="91">
        <v>8</v>
      </c>
    </row>
    <row r="18" spans="1:7">
      <c r="A18" s="90" t="s">
        <v>210</v>
      </c>
      <c r="B18" s="91">
        <v>13</v>
      </c>
      <c r="C18" s="91">
        <v>12</v>
      </c>
      <c r="D18" s="91">
        <v>12</v>
      </c>
      <c r="E18" s="91">
        <v>2</v>
      </c>
      <c r="F18" s="91">
        <v>2</v>
      </c>
      <c r="G18" s="91">
        <v>-12</v>
      </c>
    </row>
    <row r="19" spans="1:7">
      <c r="A19" s="90" t="s">
        <v>211</v>
      </c>
      <c r="B19" s="91">
        <v>21</v>
      </c>
      <c r="C19" s="91">
        <v>35</v>
      </c>
      <c r="D19" s="91">
        <v>64</v>
      </c>
      <c r="E19" s="91">
        <v>11.27</v>
      </c>
      <c r="F19" s="91">
        <v>14</v>
      </c>
      <c r="G19" s="91">
        <v>6</v>
      </c>
    </row>
    <row r="20" spans="1:7">
      <c r="A20" s="90" t="s">
        <v>126</v>
      </c>
      <c r="B20" s="91">
        <v>56</v>
      </c>
      <c r="C20" s="91">
        <v>64</v>
      </c>
      <c r="D20" s="91">
        <v>-12</v>
      </c>
      <c r="E20" s="91">
        <v>12</v>
      </c>
      <c r="F20" s="91">
        <v>14.19</v>
      </c>
      <c r="G20" s="91">
        <v>2</v>
      </c>
    </row>
    <row r="21" spans="1:7">
      <c r="A21" s="90" t="s">
        <v>213</v>
      </c>
      <c r="B21" s="91">
        <v>14</v>
      </c>
      <c r="C21" s="91">
        <v>75</v>
      </c>
      <c r="D21" s="91">
        <v>94</v>
      </c>
      <c r="E21" s="91">
        <v>64</v>
      </c>
      <c r="F21" s="91">
        <v>12</v>
      </c>
      <c r="G21" s="91">
        <v>35</v>
      </c>
    </row>
    <row r="22" spans="1:7">
      <c r="A22" s="90" t="s">
        <v>212</v>
      </c>
      <c r="B22" s="91">
        <v>25</v>
      </c>
      <c r="C22" s="91">
        <v>12</v>
      </c>
      <c r="D22" s="91">
        <v>65</v>
      </c>
      <c r="E22" s="91">
        <v>32</v>
      </c>
      <c r="F22" s="91">
        <v>35</v>
      </c>
      <c r="G22" s="91">
        <v>6</v>
      </c>
    </row>
    <row r="23" spans="1:7">
      <c r="A23" s="90" t="s">
        <v>127</v>
      </c>
      <c r="B23" s="91">
        <v>95</v>
      </c>
      <c r="C23" s="91">
        <v>35</v>
      </c>
      <c r="D23" s="91">
        <v>12</v>
      </c>
      <c r="E23" s="91">
        <v>94</v>
      </c>
      <c r="F23" s="91">
        <v>64</v>
      </c>
      <c r="G23" s="91">
        <v>2</v>
      </c>
    </row>
    <row r="24" spans="1:7">
      <c r="A24" s="90" t="s">
        <v>128</v>
      </c>
      <c r="B24" s="91">
        <v>32</v>
      </c>
      <c r="C24" s="91">
        <v>64</v>
      </c>
      <c r="D24" s="91">
        <v>64</v>
      </c>
      <c r="E24" s="91">
        <v>65</v>
      </c>
      <c r="F24" s="91">
        <v>75</v>
      </c>
      <c r="G24" s="91">
        <v>35</v>
      </c>
    </row>
    <row r="25" spans="1:7">
      <c r="A25" s="90" t="s">
        <v>129</v>
      </c>
      <c r="B25" s="91">
        <v>65</v>
      </c>
      <c r="C25" s="91">
        <v>75</v>
      </c>
      <c r="D25" s="91">
        <v>32</v>
      </c>
      <c r="E25" s="91">
        <v>45</v>
      </c>
      <c r="F25" s="91">
        <v>15</v>
      </c>
      <c r="G25" s="91">
        <v>64</v>
      </c>
    </row>
    <row r="26" spans="1:7">
      <c r="A26" s="90" t="s">
        <v>130</v>
      </c>
      <c r="B26" s="91">
        <v>75</v>
      </c>
      <c r="C26" s="91">
        <v>48</v>
      </c>
      <c r="D26" s="91">
        <v>94</v>
      </c>
      <c r="E26" s="91">
        <v>12</v>
      </c>
      <c r="F26" s="91">
        <v>13</v>
      </c>
      <c r="G26" s="91">
        <v>75</v>
      </c>
    </row>
    <row r="27" spans="1:7">
      <c r="A27" s="90" t="s">
        <v>214</v>
      </c>
      <c r="B27" s="91">
        <v>13</v>
      </c>
      <c r="C27" s="91">
        <v>12</v>
      </c>
      <c r="D27" s="91">
        <v>65</v>
      </c>
      <c r="E27" s="91">
        <v>89</v>
      </c>
      <c r="F27" s="91">
        <v>4</v>
      </c>
      <c r="G27" s="91">
        <v>12</v>
      </c>
    </row>
  </sheetData>
  <phoneticPr fontId="0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/>
  <dimension ref="B1:P28"/>
  <sheetViews>
    <sheetView workbookViewId="0">
      <selection activeCell="N3" sqref="N3:N28"/>
    </sheetView>
  </sheetViews>
  <sheetFormatPr defaultColWidth="9.109375" defaultRowHeight="14.4"/>
  <cols>
    <col min="1" max="1" width="1.6640625" style="2" customWidth="1"/>
    <col min="2" max="2" width="13.44140625" style="2" bestFit="1" customWidth="1"/>
    <col min="3" max="3" width="5.44140625" style="97" bestFit="1" customWidth="1"/>
    <col min="4" max="4" width="5.109375" style="97" bestFit="1" customWidth="1"/>
    <col min="5" max="5" width="5.44140625" style="97" bestFit="1" customWidth="1"/>
    <col min="6" max="6" width="5.109375" style="97" bestFit="1" customWidth="1"/>
    <col min="7" max="7" width="5.44140625" style="97" bestFit="1" customWidth="1"/>
    <col min="8" max="8" width="5.109375" style="97" bestFit="1" customWidth="1"/>
    <col min="9" max="9" width="5.44140625" style="97" bestFit="1" customWidth="1"/>
    <col min="10" max="10" width="5.109375" style="97" bestFit="1" customWidth="1"/>
    <col min="11" max="11" width="5.44140625" style="97" bestFit="1" customWidth="1"/>
    <col min="12" max="12" width="5.109375" style="97" bestFit="1" customWidth="1"/>
    <col min="13" max="13" width="8.44140625" style="97" customWidth="1"/>
    <col min="14" max="14" width="9.109375" style="97"/>
    <col min="15" max="15" width="3.44140625" style="2" customWidth="1"/>
    <col min="16" max="16384" width="9.109375" style="2"/>
  </cols>
  <sheetData>
    <row r="1" spans="2:16">
      <c r="B1" s="107" t="s">
        <v>69</v>
      </c>
      <c r="C1" s="109">
        <v>36892</v>
      </c>
      <c r="D1" s="110"/>
      <c r="E1" s="109">
        <v>36893</v>
      </c>
      <c r="F1" s="110"/>
      <c r="G1" s="109">
        <v>36894</v>
      </c>
      <c r="H1" s="110"/>
      <c r="I1" s="109">
        <v>36895</v>
      </c>
      <c r="J1" s="110"/>
      <c r="K1" s="109">
        <v>36896</v>
      </c>
      <c r="L1" s="110"/>
      <c r="M1" s="111" t="s">
        <v>225</v>
      </c>
      <c r="N1" s="111"/>
    </row>
    <row r="2" spans="2:16" ht="15.6">
      <c r="B2" s="108"/>
      <c r="C2" s="92" t="s">
        <v>226</v>
      </c>
      <c r="D2" s="92" t="s">
        <v>227</v>
      </c>
      <c r="E2" s="92" t="s">
        <v>226</v>
      </c>
      <c r="F2" s="92" t="s">
        <v>227</v>
      </c>
      <c r="G2" s="92" t="s">
        <v>226</v>
      </c>
      <c r="H2" s="92" t="s">
        <v>227</v>
      </c>
      <c r="I2" s="92" t="s">
        <v>226</v>
      </c>
      <c r="J2" s="92" t="s">
        <v>227</v>
      </c>
      <c r="K2" s="92" t="s">
        <v>226</v>
      </c>
      <c r="L2" s="92" t="s">
        <v>227</v>
      </c>
      <c r="M2" s="94" t="s">
        <v>226</v>
      </c>
      <c r="N2" s="94" t="s">
        <v>227</v>
      </c>
      <c r="P2" s="7" t="s">
        <v>250</v>
      </c>
    </row>
    <row r="3" spans="2:16">
      <c r="B3" s="95" t="s">
        <v>198</v>
      </c>
      <c r="C3" s="92">
        <v>220</v>
      </c>
      <c r="D3" s="92">
        <v>232.5</v>
      </c>
      <c r="E3" s="92">
        <v>295</v>
      </c>
      <c r="F3" s="92">
        <v>317.5</v>
      </c>
      <c r="G3" s="92">
        <v>480</v>
      </c>
      <c r="H3" s="92">
        <v>507.5</v>
      </c>
      <c r="I3" s="92">
        <v>170</v>
      </c>
      <c r="J3" s="92">
        <v>277.5</v>
      </c>
      <c r="K3" s="92">
        <v>201.4</v>
      </c>
      <c r="L3" s="92">
        <v>267.60000000000002</v>
      </c>
      <c r="M3" s="93">
        <f>SUM(C3,E3,G3,I3,K3)</f>
        <v>1366.4</v>
      </c>
      <c r="N3" s="93">
        <f>SUM(D3,F3,H3,J3,L3)</f>
        <v>1602.6</v>
      </c>
      <c r="P3" s="2" t="s">
        <v>228</v>
      </c>
    </row>
    <row r="4" spans="2:16">
      <c r="B4" s="96" t="s">
        <v>199</v>
      </c>
      <c r="C4" s="92">
        <v>226</v>
      </c>
      <c r="D4" s="92">
        <v>240.5</v>
      </c>
      <c r="E4" s="92">
        <v>306.5</v>
      </c>
      <c r="F4" s="92">
        <v>330.4</v>
      </c>
      <c r="G4" s="92">
        <v>503.6</v>
      </c>
      <c r="H4" s="92">
        <v>533.4</v>
      </c>
      <c r="I4" s="92">
        <v>174.5</v>
      </c>
      <c r="J4" s="92">
        <v>288.5</v>
      </c>
      <c r="K4" s="92">
        <v>214.3</v>
      </c>
      <c r="L4" s="92">
        <v>291.2</v>
      </c>
      <c r="M4" s="93">
        <f t="shared" ref="M4:M28" si="0">SUM(C4,E4,G4,I4,K4)</f>
        <v>1424.8999999999999</v>
      </c>
      <c r="N4" s="93">
        <f t="shared" ref="N4:N28" si="1">SUM(D4,F4,H4,J4,L4)</f>
        <v>1684</v>
      </c>
      <c r="P4" s="2" t="s">
        <v>229</v>
      </c>
    </row>
    <row r="5" spans="2:16">
      <c r="B5" s="96" t="s">
        <v>200</v>
      </c>
      <c r="C5" s="92">
        <v>232</v>
      </c>
      <c r="D5" s="92">
        <v>248.5</v>
      </c>
      <c r="E5" s="92">
        <v>318</v>
      </c>
      <c r="F5" s="92">
        <v>343.3</v>
      </c>
      <c r="G5" s="92">
        <v>527.20000000000005</v>
      </c>
      <c r="H5" s="92">
        <v>559.29999999999995</v>
      </c>
      <c r="I5" s="92">
        <v>179</v>
      </c>
      <c r="J5" s="92">
        <v>299.5</v>
      </c>
      <c r="K5" s="92">
        <v>227.2</v>
      </c>
      <c r="L5" s="92">
        <v>314.8</v>
      </c>
      <c r="M5" s="93">
        <f t="shared" si="0"/>
        <v>1483.4</v>
      </c>
      <c r="N5" s="93">
        <f t="shared" si="1"/>
        <v>1765.3999999999999</v>
      </c>
      <c r="P5" s="2" t="s">
        <v>230</v>
      </c>
    </row>
    <row r="6" spans="2:16">
      <c r="B6" s="96" t="s">
        <v>120</v>
      </c>
      <c r="C6" s="92">
        <v>166</v>
      </c>
      <c r="D6" s="92">
        <v>160.5</v>
      </c>
      <c r="E6" s="92">
        <v>191.5</v>
      </c>
      <c r="F6" s="92">
        <v>201.4</v>
      </c>
      <c r="G6" s="92">
        <v>267.60000000000002</v>
      </c>
      <c r="H6" s="92">
        <v>274.39999999999998</v>
      </c>
      <c r="I6" s="92">
        <v>129.5</v>
      </c>
      <c r="J6" s="92">
        <v>178.5</v>
      </c>
      <c r="K6" s="92">
        <v>60.5</v>
      </c>
      <c r="L6" s="92">
        <v>35.799999999999997</v>
      </c>
      <c r="M6" s="93">
        <f t="shared" si="0"/>
        <v>815.1</v>
      </c>
      <c r="N6" s="93">
        <f t="shared" si="1"/>
        <v>850.59999999999991</v>
      </c>
    </row>
    <row r="7" spans="2:16">
      <c r="B7" s="96" t="s">
        <v>201</v>
      </c>
      <c r="C7" s="92">
        <v>130</v>
      </c>
      <c r="D7" s="92">
        <v>112.5</v>
      </c>
      <c r="E7" s="92">
        <v>122.5</v>
      </c>
      <c r="F7" s="92">
        <v>124</v>
      </c>
      <c r="G7" s="92">
        <v>126</v>
      </c>
      <c r="H7" s="92">
        <v>119</v>
      </c>
      <c r="I7" s="92">
        <v>102.5</v>
      </c>
      <c r="J7" s="92">
        <v>112.5</v>
      </c>
      <c r="K7" s="92">
        <v>72.5</v>
      </c>
      <c r="L7" s="92">
        <v>61</v>
      </c>
      <c r="M7" s="93">
        <f t="shared" si="0"/>
        <v>553.5</v>
      </c>
      <c r="N7" s="93">
        <f t="shared" si="1"/>
        <v>529</v>
      </c>
    </row>
    <row r="8" spans="2:16">
      <c r="B8" s="96" t="s">
        <v>122</v>
      </c>
      <c r="C8" s="92">
        <v>136</v>
      </c>
      <c r="D8" s="92">
        <v>120.5</v>
      </c>
      <c r="E8" s="92">
        <v>134</v>
      </c>
      <c r="F8" s="92">
        <v>136.9</v>
      </c>
      <c r="G8" s="92">
        <v>149.6</v>
      </c>
      <c r="H8" s="92">
        <v>144.9</v>
      </c>
      <c r="I8" s="92">
        <v>107</v>
      </c>
      <c r="J8" s="92">
        <v>123.5</v>
      </c>
      <c r="K8" s="92">
        <v>70.5</v>
      </c>
      <c r="L8" s="92">
        <v>56.8</v>
      </c>
      <c r="M8" s="93">
        <f t="shared" si="0"/>
        <v>597.1</v>
      </c>
      <c r="N8" s="93">
        <f t="shared" si="1"/>
        <v>582.59999999999991</v>
      </c>
    </row>
    <row r="9" spans="2:16">
      <c r="B9" s="96" t="s">
        <v>123</v>
      </c>
      <c r="C9" s="92">
        <v>142</v>
      </c>
      <c r="D9" s="92">
        <v>128.5</v>
      </c>
      <c r="E9" s="92">
        <v>145.5</v>
      </c>
      <c r="F9" s="92">
        <v>149.80000000000001</v>
      </c>
      <c r="G9" s="92">
        <v>173.2</v>
      </c>
      <c r="H9" s="92">
        <v>170.8</v>
      </c>
      <c r="I9" s="92">
        <v>111.5</v>
      </c>
      <c r="J9" s="92">
        <v>134.5</v>
      </c>
      <c r="K9" s="92">
        <v>68.5</v>
      </c>
      <c r="L9" s="92">
        <v>52.6</v>
      </c>
      <c r="M9" s="93">
        <f t="shared" si="0"/>
        <v>640.70000000000005</v>
      </c>
      <c r="N9" s="93">
        <f t="shared" si="1"/>
        <v>636.20000000000005</v>
      </c>
    </row>
    <row r="10" spans="2:16">
      <c r="B10" s="96" t="s">
        <v>202</v>
      </c>
      <c r="C10" s="92">
        <v>148</v>
      </c>
      <c r="D10" s="92">
        <v>136.5</v>
      </c>
      <c r="E10" s="92">
        <v>157</v>
      </c>
      <c r="F10" s="92">
        <v>162.69999999999999</v>
      </c>
      <c r="G10" s="92">
        <v>196.8</v>
      </c>
      <c r="H10" s="92">
        <v>196.7</v>
      </c>
      <c r="I10" s="92">
        <v>116</v>
      </c>
      <c r="J10" s="92">
        <v>145.5</v>
      </c>
      <c r="K10" s="92">
        <v>66.5</v>
      </c>
      <c r="L10" s="92">
        <v>48.4</v>
      </c>
      <c r="M10" s="93">
        <f t="shared" si="0"/>
        <v>684.3</v>
      </c>
      <c r="N10" s="93">
        <f t="shared" si="1"/>
        <v>689.8</v>
      </c>
    </row>
    <row r="11" spans="2:16">
      <c r="B11" s="96" t="s">
        <v>203</v>
      </c>
      <c r="C11" s="92">
        <v>154</v>
      </c>
      <c r="D11" s="92">
        <v>144.5</v>
      </c>
      <c r="E11" s="92">
        <v>168.5</v>
      </c>
      <c r="F11" s="92">
        <v>175.6</v>
      </c>
      <c r="G11" s="92">
        <v>220.4</v>
      </c>
      <c r="H11" s="92">
        <v>222.6</v>
      </c>
      <c r="I11" s="92">
        <v>120.5</v>
      </c>
      <c r="J11" s="92">
        <v>156.5</v>
      </c>
      <c r="K11" s="92">
        <v>64.5</v>
      </c>
      <c r="L11" s="92">
        <v>44.2</v>
      </c>
      <c r="M11" s="93">
        <f t="shared" si="0"/>
        <v>727.9</v>
      </c>
      <c r="N11" s="93">
        <f t="shared" si="1"/>
        <v>743.40000000000009</v>
      </c>
    </row>
    <row r="12" spans="2:16">
      <c r="B12" s="96" t="s">
        <v>204</v>
      </c>
      <c r="C12" s="92">
        <v>160</v>
      </c>
      <c r="D12" s="92">
        <v>152.5</v>
      </c>
      <c r="E12" s="92">
        <v>180</v>
      </c>
      <c r="F12" s="92">
        <v>188.5</v>
      </c>
      <c r="G12" s="92">
        <v>244</v>
      </c>
      <c r="H12" s="92">
        <v>248.5</v>
      </c>
      <c r="I12" s="92">
        <v>125</v>
      </c>
      <c r="J12" s="92">
        <v>167.5</v>
      </c>
      <c r="K12" s="92">
        <v>62.5</v>
      </c>
      <c r="L12" s="92">
        <v>40</v>
      </c>
      <c r="M12" s="93">
        <f t="shared" si="0"/>
        <v>771.5</v>
      </c>
      <c r="N12" s="93">
        <f t="shared" si="1"/>
        <v>797</v>
      </c>
    </row>
    <row r="13" spans="2:16">
      <c r="B13" s="96" t="s">
        <v>205</v>
      </c>
      <c r="C13" s="92">
        <v>166</v>
      </c>
      <c r="D13" s="92">
        <v>160.5</v>
      </c>
      <c r="E13" s="92">
        <v>191.5</v>
      </c>
      <c r="F13" s="92">
        <v>201.4</v>
      </c>
      <c r="G13" s="92">
        <v>267.60000000000002</v>
      </c>
      <c r="H13" s="92">
        <v>274.39999999999998</v>
      </c>
      <c r="I13" s="92">
        <v>129.5</v>
      </c>
      <c r="J13" s="92">
        <v>178.5</v>
      </c>
      <c r="K13" s="92">
        <v>60.5</v>
      </c>
      <c r="L13" s="92">
        <v>35.799999999999997</v>
      </c>
      <c r="M13" s="93">
        <f t="shared" si="0"/>
        <v>815.1</v>
      </c>
      <c r="N13" s="93">
        <f t="shared" si="1"/>
        <v>850.59999999999991</v>
      </c>
    </row>
    <row r="14" spans="2:16">
      <c r="B14" s="96" t="s">
        <v>206</v>
      </c>
      <c r="C14" s="92">
        <v>172</v>
      </c>
      <c r="D14" s="92">
        <v>168.5</v>
      </c>
      <c r="E14" s="92">
        <v>203</v>
      </c>
      <c r="F14" s="92">
        <v>214.3</v>
      </c>
      <c r="G14" s="92">
        <v>291.2</v>
      </c>
      <c r="H14" s="92">
        <v>300.3</v>
      </c>
      <c r="I14" s="92">
        <v>134</v>
      </c>
      <c r="J14" s="92">
        <v>189.5</v>
      </c>
      <c r="K14" s="92">
        <v>58.5</v>
      </c>
      <c r="L14" s="92">
        <v>31.6</v>
      </c>
      <c r="M14" s="93">
        <f t="shared" si="0"/>
        <v>858.7</v>
      </c>
      <c r="N14" s="93">
        <f t="shared" si="1"/>
        <v>904.2</v>
      </c>
    </row>
    <row r="15" spans="2:16">
      <c r="B15" s="96" t="s">
        <v>125</v>
      </c>
      <c r="C15" s="92">
        <v>178</v>
      </c>
      <c r="D15" s="92">
        <v>176.5</v>
      </c>
      <c r="E15" s="92">
        <v>214.5</v>
      </c>
      <c r="F15" s="92">
        <v>227.2</v>
      </c>
      <c r="G15" s="92">
        <v>314.8</v>
      </c>
      <c r="H15" s="92">
        <v>326.2</v>
      </c>
      <c r="I15" s="92">
        <v>138.5</v>
      </c>
      <c r="J15" s="92">
        <v>200.5</v>
      </c>
      <c r="K15" s="92">
        <v>56.5</v>
      </c>
      <c r="L15" s="92">
        <v>27.4</v>
      </c>
      <c r="M15" s="93">
        <f t="shared" si="0"/>
        <v>902.3</v>
      </c>
      <c r="N15" s="93">
        <f t="shared" si="1"/>
        <v>957.8</v>
      </c>
    </row>
    <row r="16" spans="2:16">
      <c r="B16" s="96" t="s">
        <v>207</v>
      </c>
      <c r="C16" s="92">
        <v>184</v>
      </c>
      <c r="D16" s="92">
        <v>184.5</v>
      </c>
      <c r="E16" s="92">
        <v>226</v>
      </c>
      <c r="F16" s="92">
        <v>240.1</v>
      </c>
      <c r="G16" s="92">
        <v>338.4</v>
      </c>
      <c r="H16" s="92">
        <v>352.1</v>
      </c>
      <c r="I16" s="92">
        <v>143</v>
      </c>
      <c r="J16" s="92">
        <v>211.5</v>
      </c>
      <c r="K16" s="92">
        <v>54.5</v>
      </c>
      <c r="L16" s="92">
        <v>23.2</v>
      </c>
      <c r="M16" s="93">
        <f t="shared" si="0"/>
        <v>945.9</v>
      </c>
      <c r="N16" s="93">
        <f t="shared" si="1"/>
        <v>1011.4000000000001</v>
      </c>
    </row>
    <row r="17" spans="2:14">
      <c r="B17" s="96" t="s">
        <v>208</v>
      </c>
      <c r="C17" s="92">
        <v>190</v>
      </c>
      <c r="D17" s="92">
        <v>192.5</v>
      </c>
      <c r="E17" s="92">
        <v>237.5</v>
      </c>
      <c r="F17" s="92">
        <v>253</v>
      </c>
      <c r="G17" s="92">
        <v>362</v>
      </c>
      <c r="H17" s="92">
        <v>378</v>
      </c>
      <c r="I17" s="92">
        <v>147.5</v>
      </c>
      <c r="J17" s="92">
        <v>222.5</v>
      </c>
      <c r="K17" s="92">
        <v>136.9</v>
      </c>
      <c r="L17" s="92">
        <v>149.6</v>
      </c>
      <c r="M17" s="93">
        <f t="shared" si="0"/>
        <v>1073.9000000000001</v>
      </c>
      <c r="N17" s="93">
        <f t="shared" si="1"/>
        <v>1195.5999999999999</v>
      </c>
    </row>
    <row r="18" spans="2:14">
      <c r="B18" s="96" t="s">
        <v>209</v>
      </c>
      <c r="C18" s="92">
        <v>196</v>
      </c>
      <c r="D18" s="92">
        <v>200.5</v>
      </c>
      <c r="E18" s="92">
        <v>249</v>
      </c>
      <c r="F18" s="92">
        <v>265.89999999999998</v>
      </c>
      <c r="G18" s="92">
        <v>385.6</v>
      </c>
      <c r="H18" s="92">
        <v>403.9</v>
      </c>
      <c r="I18" s="92">
        <v>152</v>
      </c>
      <c r="J18" s="92">
        <v>233.5</v>
      </c>
      <c r="K18" s="92">
        <v>149.80000000000001</v>
      </c>
      <c r="L18" s="92">
        <v>173.2</v>
      </c>
      <c r="M18" s="93">
        <f t="shared" si="0"/>
        <v>1132.4000000000001</v>
      </c>
      <c r="N18" s="93">
        <f t="shared" si="1"/>
        <v>1277</v>
      </c>
    </row>
    <row r="19" spans="2:14">
      <c r="B19" s="96" t="s">
        <v>210</v>
      </c>
      <c r="C19" s="92">
        <v>202</v>
      </c>
      <c r="D19" s="92">
        <v>208.5</v>
      </c>
      <c r="E19" s="92">
        <v>260.5</v>
      </c>
      <c r="F19" s="92">
        <v>278.8</v>
      </c>
      <c r="G19" s="92">
        <v>409.2</v>
      </c>
      <c r="H19" s="92">
        <v>429.8</v>
      </c>
      <c r="I19" s="92">
        <v>156.5</v>
      </c>
      <c r="J19" s="92">
        <v>244.5</v>
      </c>
      <c r="K19" s="92">
        <v>162.69999999999999</v>
      </c>
      <c r="L19" s="92">
        <v>196.8</v>
      </c>
      <c r="M19" s="93">
        <f t="shared" si="0"/>
        <v>1190.9000000000001</v>
      </c>
      <c r="N19" s="93">
        <f t="shared" si="1"/>
        <v>1358.3999999999999</v>
      </c>
    </row>
    <row r="20" spans="2:14">
      <c r="B20" s="96" t="s">
        <v>211</v>
      </c>
      <c r="C20" s="92">
        <v>208</v>
      </c>
      <c r="D20" s="92">
        <v>216.5</v>
      </c>
      <c r="E20" s="92">
        <v>272</v>
      </c>
      <c r="F20" s="92">
        <v>291.7</v>
      </c>
      <c r="G20" s="92">
        <v>432.8</v>
      </c>
      <c r="H20" s="92">
        <v>455.7</v>
      </c>
      <c r="I20" s="92">
        <v>161</v>
      </c>
      <c r="J20" s="92">
        <v>255.5</v>
      </c>
      <c r="K20" s="92">
        <v>175.6</v>
      </c>
      <c r="L20" s="92">
        <v>220.4</v>
      </c>
      <c r="M20" s="93">
        <f t="shared" si="0"/>
        <v>1249.3999999999999</v>
      </c>
      <c r="N20" s="93">
        <f t="shared" si="1"/>
        <v>1439.8000000000002</v>
      </c>
    </row>
    <row r="21" spans="2:14">
      <c r="B21" s="96" t="s">
        <v>126</v>
      </c>
      <c r="C21" s="92">
        <v>214</v>
      </c>
      <c r="D21" s="92">
        <v>224.5</v>
      </c>
      <c r="E21" s="92">
        <v>283.5</v>
      </c>
      <c r="F21" s="92">
        <v>304.60000000000002</v>
      </c>
      <c r="G21" s="92">
        <v>456.4</v>
      </c>
      <c r="H21" s="92">
        <v>481.6</v>
      </c>
      <c r="I21" s="92">
        <v>165.5</v>
      </c>
      <c r="J21" s="92">
        <v>266.5</v>
      </c>
      <c r="K21" s="92">
        <v>188.5</v>
      </c>
      <c r="L21" s="92">
        <v>244</v>
      </c>
      <c r="M21" s="93">
        <f t="shared" si="0"/>
        <v>1307.9000000000001</v>
      </c>
      <c r="N21" s="93">
        <f t="shared" si="1"/>
        <v>1521.2</v>
      </c>
    </row>
    <row r="22" spans="2:14">
      <c r="B22" s="96" t="s">
        <v>213</v>
      </c>
      <c r="C22" s="92">
        <v>220</v>
      </c>
      <c r="D22" s="92">
        <v>232.5</v>
      </c>
      <c r="E22" s="92">
        <v>295</v>
      </c>
      <c r="F22" s="92">
        <v>317.5</v>
      </c>
      <c r="G22" s="92">
        <v>480</v>
      </c>
      <c r="H22" s="92">
        <v>507.5</v>
      </c>
      <c r="I22" s="92">
        <v>170</v>
      </c>
      <c r="J22" s="92">
        <v>277.5</v>
      </c>
      <c r="K22" s="92">
        <v>201.4</v>
      </c>
      <c r="L22" s="92">
        <v>267.60000000000002</v>
      </c>
      <c r="M22" s="93">
        <f t="shared" si="0"/>
        <v>1366.4</v>
      </c>
      <c r="N22" s="93">
        <f t="shared" si="1"/>
        <v>1602.6</v>
      </c>
    </row>
    <row r="23" spans="2:14">
      <c r="B23" s="96" t="s">
        <v>212</v>
      </c>
      <c r="C23" s="92">
        <v>226</v>
      </c>
      <c r="D23" s="92">
        <v>240.5</v>
      </c>
      <c r="E23" s="92">
        <v>306.5</v>
      </c>
      <c r="F23" s="92">
        <v>330.4</v>
      </c>
      <c r="G23" s="92">
        <v>503.6</v>
      </c>
      <c r="H23" s="92">
        <v>533.4</v>
      </c>
      <c r="I23" s="92">
        <v>174.5</v>
      </c>
      <c r="J23" s="92">
        <v>288.5</v>
      </c>
      <c r="K23" s="92">
        <v>214.3</v>
      </c>
      <c r="L23" s="92">
        <v>291.2</v>
      </c>
      <c r="M23" s="93">
        <f t="shared" si="0"/>
        <v>1424.8999999999999</v>
      </c>
      <c r="N23" s="93">
        <f t="shared" si="1"/>
        <v>1684</v>
      </c>
    </row>
    <row r="24" spans="2:14">
      <c r="B24" s="96" t="s">
        <v>127</v>
      </c>
      <c r="C24" s="92">
        <v>232</v>
      </c>
      <c r="D24" s="92">
        <v>248.5</v>
      </c>
      <c r="E24" s="92">
        <v>318</v>
      </c>
      <c r="F24" s="92">
        <v>343.3</v>
      </c>
      <c r="G24" s="92">
        <v>527.20000000000005</v>
      </c>
      <c r="H24" s="92">
        <v>559.29999999999995</v>
      </c>
      <c r="I24" s="92">
        <v>179</v>
      </c>
      <c r="J24" s="92">
        <v>299.5</v>
      </c>
      <c r="K24" s="92">
        <v>227.2</v>
      </c>
      <c r="L24" s="92">
        <v>314.8</v>
      </c>
      <c r="M24" s="93">
        <f t="shared" si="0"/>
        <v>1483.4</v>
      </c>
      <c r="N24" s="93">
        <f t="shared" si="1"/>
        <v>1765.3999999999999</v>
      </c>
    </row>
    <row r="25" spans="2:14">
      <c r="B25" s="96" t="s">
        <v>128</v>
      </c>
      <c r="C25" s="92">
        <v>238</v>
      </c>
      <c r="D25" s="92">
        <v>256.5</v>
      </c>
      <c r="E25" s="92">
        <v>329.5</v>
      </c>
      <c r="F25" s="92">
        <v>356.2</v>
      </c>
      <c r="G25" s="92">
        <v>550.79999999999995</v>
      </c>
      <c r="H25" s="92">
        <v>585.20000000000005</v>
      </c>
      <c r="I25" s="92">
        <v>183.5</v>
      </c>
      <c r="J25" s="92">
        <v>310.5</v>
      </c>
      <c r="K25" s="92">
        <v>240.1</v>
      </c>
      <c r="L25" s="92">
        <v>338.4</v>
      </c>
      <c r="M25" s="93">
        <f t="shared" si="0"/>
        <v>1541.8999999999999</v>
      </c>
      <c r="N25" s="93">
        <f t="shared" si="1"/>
        <v>1846.8000000000002</v>
      </c>
    </row>
    <row r="26" spans="2:14" ht="27">
      <c r="B26" s="96" t="s">
        <v>129</v>
      </c>
      <c r="C26" s="92">
        <v>244</v>
      </c>
      <c r="D26" s="92">
        <v>264.5</v>
      </c>
      <c r="E26" s="92">
        <v>341</v>
      </c>
      <c r="F26" s="92">
        <v>369.1</v>
      </c>
      <c r="G26" s="92">
        <v>574.4</v>
      </c>
      <c r="H26" s="92">
        <v>611.1</v>
      </c>
      <c r="I26" s="92">
        <v>188</v>
      </c>
      <c r="J26" s="92">
        <v>321.5</v>
      </c>
      <c r="K26" s="92">
        <v>253</v>
      </c>
      <c r="L26" s="92">
        <v>362</v>
      </c>
      <c r="M26" s="93">
        <f t="shared" si="0"/>
        <v>1600.4</v>
      </c>
      <c r="N26" s="93">
        <f t="shared" si="1"/>
        <v>1928.2</v>
      </c>
    </row>
    <row r="27" spans="2:14">
      <c r="B27" s="96" t="s">
        <v>130</v>
      </c>
      <c r="C27" s="92">
        <v>250</v>
      </c>
      <c r="D27" s="92">
        <v>272.5</v>
      </c>
      <c r="E27" s="92">
        <v>352.5</v>
      </c>
      <c r="F27" s="92">
        <v>382</v>
      </c>
      <c r="G27" s="92">
        <v>598</v>
      </c>
      <c r="H27" s="92">
        <v>637</v>
      </c>
      <c r="I27" s="92">
        <v>192.5</v>
      </c>
      <c r="J27" s="92">
        <v>332.5</v>
      </c>
      <c r="K27" s="92">
        <v>265.89999999999998</v>
      </c>
      <c r="L27" s="92">
        <v>385.6</v>
      </c>
      <c r="M27" s="93">
        <f t="shared" si="0"/>
        <v>1658.9</v>
      </c>
      <c r="N27" s="93">
        <f t="shared" si="1"/>
        <v>2009.6</v>
      </c>
    </row>
    <row r="28" spans="2:14">
      <c r="B28" s="96" t="s">
        <v>214</v>
      </c>
      <c r="C28" s="92">
        <v>256</v>
      </c>
      <c r="D28" s="92">
        <v>280.5</v>
      </c>
      <c r="E28" s="92">
        <v>364</v>
      </c>
      <c r="F28" s="92">
        <v>394.9</v>
      </c>
      <c r="G28" s="92">
        <v>621.6</v>
      </c>
      <c r="H28" s="92">
        <v>662.9</v>
      </c>
      <c r="I28" s="92">
        <v>197</v>
      </c>
      <c r="J28" s="92">
        <v>343.5</v>
      </c>
      <c r="K28" s="92">
        <v>278.8</v>
      </c>
      <c r="L28" s="92">
        <v>409.2</v>
      </c>
      <c r="M28" s="93">
        <f t="shared" si="0"/>
        <v>1717.3999999999999</v>
      </c>
      <c r="N28" s="93">
        <f t="shared" si="1"/>
        <v>2091</v>
      </c>
    </row>
  </sheetData>
  <sheetProtection sort="0" autoFilter="0" pivotTables="0"/>
  <mergeCells count="7">
    <mergeCell ref="B1:B2"/>
    <mergeCell ref="K1:L1"/>
    <mergeCell ref="M1:N1"/>
    <mergeCell ref="C1:D1"/>
    <mergeCell ref="E1:F1"/>
    <mergeCell ref="G1:H1"/>
    <mergeCell ref="I1:J1"/>
  </mergeCells>
  <phoneticPr fontId="0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/>
  <dimension ref="A1:E11"/>
  <sheetViews>
    <sheetView tabSelected="1" workbookViewId="0">
      <selection activeCell="E4" sqref="E4"/>
    </sheetView>
  </sheetViews>
  <sheetFormatPr defaultColWidth="9.109375" defaultRowHeight="14.4"/>
  <cols>
    <col min="1" max="16384" width="9.109375" style="2"/>
  </cols>
  <sheetData>
    <row r="1" spans="1:5" ht="15.6">
      <c r="E1" s="7" t="s">
        <v>251</v>
      </c>
    </row>
    <row r="2" spans="1:5">
      <c r="E2" s="2" t="s">
        <v>257</v>
      </c>
    </row>
    <row r="4" spans="1:5">
      <c r="A4" s="67"/>
      <c r="B4" s="68"/>
      <c r="C4" s="69"/>
      <c r="E4" s="106" t="s">
        <v>278</v>
      </c>
    </row>
    <row r="5" spans="1:5">
      <c r="A5" s="70"/>
      <c r="B5"/>
      <c r="C5" s="71"/>
    </row>
    <row r="6" spans="1:5">
      <c r="A6" s="70"/>
      <c r="B6"/>
      <c r="C6" s="71"/>
    </row>
    <row r="7" spans="1:5">
      <c r="A7" s="70"/>
      <c r="B7"/>
      <c r="C7" s="71"/>
    </row>
    <row r="8" spans="1:5">
      <c r="A8" s="70"/>
      <c r="B8"/>
      <c r="C8" s="71"/>
    </row>
    <row r="9" spans="1:5">
      <c r="A9" s="70"/>
      <c r="B9"/>
      <c r="C9" s="71"/>
    </row>
    <row r="10" spans="1:5">
      <c r="A10" s="70"/>
      <c r="B10"/>
      <c r="C10" s="71"/>
    </row>
    <row r="11" spans="1:5">
      <c r="A11" s="72"/>
      <c r="B11" s="73"/>
      <c r="C11" s="74"/>
    </row>
  </sheetData>
  <protectedRanges>
    <protectedRange sqref="A4:C11" name="Диапазон1"/>
  </protectedRanges>
  <phoneticPr fontId="0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0]!Test1_pr">
                <anchor moveWithCells="1" sizeWithCells="1">
                  <from>
                    <xdr:col>0</xdr:col>
                    <xdr:colOff>220980</xdr:colOff>
                    <xdr:row>0</xdr:row>
                    <xdr:rowOff>182880</xdr:rowOff>
                  </from>
                  <to>
                    <xdr:col>2</xdr:col>
                    <xdr:colOff>121920</xdr:colOff>
                    <xdr:row>2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20"/>
  <dimension ref="A1:E8"/>
  <sheetViews>
    <sheetView workbookViewId="0">
      <selection activeCell="E22" sqref="E22"/>
    </sheetView>
  </sheetViews>
  <sheetFormatPr defaultColWidth="9.109375" defaultRowHeight="14.4"/>
  <cols>
    <col min="1" max="1" width="40.109375" style="2" customWidth="1"/>
    <col min="2" max="16384" width="9.109375" style="2"/>
  </cols>
  <sheetData>
    <row r="1" spans="1:5" ht="15.6">
      <c r="A1" s="77" t="s">
        <v>232</v>
      </c>
      <c r="E1" s="7" t="s">
        <v>252</v>
      </c>
    </row>
    <row r="2" spans="1:5">
      <c r="A2" s="77" t="s">
        <v>233</v>
      </c>
      <c r="E2" s="2" t="s">
        <v>239</v>
      </c>
    </row>
    <row r="3" spans="1:5">
      <c r="A3" s="77" t="s">
        <v>234</v>
      </c>
    </row>
    <row r="4" spans="1:5">
      <c r="A4" s="77" t="s">
        <v>235</v>
      </c>
    </row>
    <row r="5" spans="1:5">
      <c r="A5" s="77" t="s">
        <v>236</v>
      </c>
    </row>
    <row r="6" spans="1:5">
      <c r="A6" s="77" t="s">
        <v>237</v>
      </c>
    </row>
    <row r="7" spans="1:5">
      <c r="A7" s="77" t="s">
        <v>238</v>
      </c>
    </row>
    <row r="8" spans="1:5">
      <c r="A8" s="77" t="s">
        <v>231</v>
      </c>
    </row>
  </sheetData>
  <phoneticPr fontId="0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69" r:id="rId3" name="CheckBox1">
          <controlPr defaultSize="0" autoLine="0" r:id="rId4">
            <anchor>
              <from>
                <xdr:col>1</xdr:col>
                <xdr:colOff>22860</xdr:colOff>
                <xdr:row>0</xdr:row>
                <xdr:rowOff>38100</xdr:rowOff>
              </from>
              <to>
                <xdr:col>1</xdr:col>
                <xdr:colOff>556260</xdr:colOff>
                <xdr:row>0</xdr:row>
                <xdr:rowOff>167640</xdr:rowOff>
              </to>
            </anchor>
          </controlPr>
        </control>
      </mc:Choice>
      <mc:Fallback>
        <control shapeId="7169" r:id="rId3" name="CheckBox1"/>
      </mc:Fallback>
    </mc:AlternateContent>
    <mc:AlternateContent xmlns:mc="http://schemas.openxmlformats.org/markup-compatibility/2006">
      <mc:Choice Requires="x14">
        <control shapeId="7177" r:id="rId5" name="CheckBox2">
          <controlPr defaultSize="0" autoLine="0" r:id="rId6">
            <anchor moveWithCells="1">
              <from>
                <xdr:col>1</xdr:col>
                <xdr:colOff>22860</xdr:colOff>
                <xdr:row>1</xdr:row>
                <xdr:rowOff>38100</xdr:rowOff>
              </from>
              <to>
                <xdr:col>1</xdr:col>
                <xdr:colOff>556260</xdr:colOff>
                <xdr:row>1</xdr:row>
                <xdr:rowOff>167640</xdr:rowOff>
              </to>
            </anchor>
          </controlPr>
        </control>
      </mc:Choice>
      <mc:Fallback>
        <control shapeId="7177" r:id="rId5" name="CheckBox2"/>
      </mc:Fallback>
    </mc:AlternateContent>
    <mc:AlternateContent xmlns:mc="http://schemas.openxmlformats.org/markup-compatibility/2006">
      <mc:Choice Requires="x14">
        <control shapeId="7178" r:id="rId7" name="CheckBox3">
          <controlPr defaultSize="0" autoLine="0" r:id="rId4">
            <anchor moveWithCells="1">
              <from>
                <xdr:col>1</xdr:col>
                <xdr:colOff>22860</xdr:colOff>
                <xdr:row>2</xdr:row>
                <xdr:rowOff>38100</xdr:rowOff>
              </from>
              <to>
                <xdr:col>1</xdr:col>
                <xdr:colOff>556260</xdr:colOff>
                <xdr:row>2</xdr:row>
                <xdr:rowOff>167640</xdr:rowOff>
              </to>
            </anchor>
          </controlPr>
        </control>
      </mc:Choice>
      <mc:Fallback>
        <control shapeId="7178" r:id="rId7" name="CheckBox3"/>
      </mc:Fallback>
    </mc:AlternateContent>
    <mc:AlternateContent xmlns:mc="http://schemas.openxmlformats.org/markup-compatibility/2006">
      <mc:Choice Requires="x14">
        <control shapeId="7179" r:id="rId8" name="CheckBox4">
          <controlPr defaultSize="0" autoLine="0" r:id="rId6">
            <anchor moveWithCells="1">
              <from>
                <xdr:col>1</xdr:col>
                <xdr:colOff>22860</xdr:colOff>
                <xdr:row>3</xdr:row>
                <xdr:rowOff>38100</xdr:rowOff>
              </from>
              <to>
                <xdr:col>1</xdr:col>
                <xdr:colOff>556260</xdr:colOff>
                <xdr:row>3</xdr:row>
                <xdr:rowOff>167640</xdr:rowOff>
              </to>
            </anchor>
          </controlPr>
        </control>
      </mc:Choice>
      <mc:Fallback>
        <control shapeId="7179" r:id="rId8" name="CheckBox4"/>
      </mc:Fallback>
    </mc:AlternateContent>
    <mc:AlternateContent xmlns:mc="http://schemas.openxmlformats.org/markup-compatibility/2006">
      <mc:Choice Requires="x14">
        <control shapeId="7180" r:id="rId9" name="CheckBox5">
          <controlPr defaultSize="0" autoLine="0" r:id="rId4">
            <anchor moveWithCells="1">
              <from>
                <xdr:col>1</xdr:col>
                <xdr:colOff>22860</xdr:colOff>
                <xdr:row>4</xdr:row>
                <xdr:rowOff>38100</xdr:rowOff>
              </from>
              <to>
                <xdr:col>1</xdr:col>
                <xdr:colOff>556260</xdr:colOff>
                <xdr:row>4</xdr:row>
                <xdr:rowOff>167640</xdr:rowOff>
              </to>
            </anchor>
          </controlPr>
        </control>
      </mc:Choice>
      <mc:Fallback>
        <control shapeId="7180" r:id="rId9" name="CheckBox5"/>
      </mc:Fallback>
    </mc:AlternateContent>
    <mc:AlternateContent xmlns:mc="http://schemas.openxmlformats.org/markup-compatibility/2006">
      <mc:Choice Requires="x14">
        <control shapeId="7181" r:id="rId10" name="CheckBox6">
          <controlPr defaultSize="0" autoLine="0" r:id="rId4">
            <anchor moveWithCells="1">
              <from>
                <xdr:col>1</xdr:col>
                <xdr:colOff>22860</xdr:colOff>
                <xdr:row>6</xdr:row>
                <xdr:rowOff>38100</xdr:rowOff>
              </from>
              <to>
                <xdr:col>1</xdr:col>
                <xdr:colOff>556260</xdr:colOff>
                <xdr:row>6</xdr:row>
                <xdr:rowOff>167640</xdr:rowOff>
              </to>
            </anchor>
          </controlPr>
        </control>
      </mc:Choice>
      <mc:Fallback>
        <control shapeId="7181" r:id="rId10" name="CheckBox6"/>
      </mc:Fallback>
    </mc:AlternateContent>
    <mc:AlternateContent xmlns:mc="http://schemas.openxmlformats.org/markup-compatibility/2006">
      <mc:Choice Requires="x14">
        <control shapeId="7182" r:id="rId11" name="CheckBox7">
          <controlPr defaultSize="0" autoLine="0" r:id="rId4">
            <anchor moveWithCells="1">
              <from>
                <xdr:col>1</xdr:col>
                <xdr:colOff>22860</xdr:colOff>
                <xdr:row>5</xdr:row>
                <xdr:rowOff>38100</xdr:rowOff>
              </from>
              <to>
                <xdr:col>1</xdr:col>
                <xdr:colOff>556260</xdr:colOff>
                <xdr:row>5</xdr:row>
                <xdr:rowOff>167640</xdr:rowOff>
              </to>
            </anchor>
          </controlPr>
        </control>
      </mc:Choice>
      <mc:Fallback>
        <control shapeId="7182" r:id="rId11" name="CheckBox7"/>
      </mc:Fallback>
    </mc:AlternateContent>
    <mc:AlternateContent xmlns:mc="http://schemas.openxmlformats.org/markup-compatibility/2006">
      <mc:Choice Requires="x14">
        <control shapeId="7183" r:id="rId12" name="CheckBox8">
          <controlPr defaultSize="0" autoLine="0" r:id="rId4">
            <anchor moveWithCells="1">
              <from>
                <xdr:col>1</xdr:col>
                <xdr:colOff>22860</xdr:colOff>
                <xdr:row>7</xdr:row>
                <xdr:rowOff>38100</xdr:rowOff>
              </from>
              <to>
                <xdr:col>1</xdr:col>
                <xdr:colOff>556260</xdr:colOff>
                <xdr:row>7</xdr:row>
                <xdr:rowOff>167640</xdr:rowOff>
              </to>
            </anchor>
          </controlPr>
        </control>
      </mc:Choice>
      <mc:Fallback>
        <control shapeId="7183" r:id="rId12" name="CheckBox8"/>
      </mc:Fallback>
    </mc:AlternateContent>
  </contro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19"/>
  <dimension ref="A23:K41"/>
  <sheetViews>
    <sheetView zoomScale="85" workbookViewId="0">
      <selection activeCell="H27" sqref="H27"/>
    </sheetView>
  </sheetViews>
  <sheetFormatPr defaultColWidth="9.109375" defaultRowHeight="14.4"/>
  <cols>
    <col min="1" max="16384" width="9.109375" style="2"/>
  </cols>
  <sheetData>
    <row r="23" spans="1:11" ht="15.6">
      <c r="A23" s="7" t="s">
        <v>253</v>
      </c>
    </row>
    <row r="24" spans="1:11">
      <c r="A24" s="2" t="s">
        <v>240</v>
      </c>
      <c r="F24" s="42">
        <v>1</v>
      </c>
      <c r="K24" s="75"/>
    </row>
    <row r="25" spans="1:11">
      <c r="K25" s="75"/>
    </row>
    <row r="26" spans="1:11">
      <c r="K26" s="75"/>
    </row>
    <row r="27" spans="1:11">
      <c r="K27" s="75"/>
    </row>
    <row r="28" spans="1:11">
      <c r="K28" s="75"/>
    </row>
    <row r="29" spans="1:11">
      <c r="K29" s="75"/>
    </row>
    <row r="30" spans="1:11">
      <c r="K30" s="75"/>
    </row>
    <row r="31" spans="1:11">
      <c r="K31" s="75"/>
    </row>
    <row r="32" spans="1:11">
      <c r="K32" s="75"/>
    </row>
    <row r="33" spans="11:11">
      <c r="K33" s="75"/>
    </row>
    <row r="34" spans="11:11">
      <c r="K34" s="75"/>
    </row>
    <row r="35" spans="11:11">
      <c r="K35" s="75"/>
    </row>
    <row r="36" spans="11:11">
      <c r="K36" s="75"/>
    </row>
    <row r="37" spans="11:11">
      <c r="K37" s="75"/>
    </row>
    <row r="38" spans="11:11">
      <c r="K38" s="75"/>
    </row>
    <row r="39" spans="11:11">
      <c r="K39" s="75"/>
    </row>
    <row r="40" spans="11:11">
      <c r="K40" s="75"/>
    </row>
    <row r="41" spans="11:11">
      <c r="K41" s="76"/>
    </row>
  </sheetData>
  <protectedRanges>
    <protectedRange sqref="F24" name="Диапазон1"/>
  </protectedRanges>
  <phoneticPr fontId="0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6147" r:id="rId3" name="Label1">
          <controlPr defaultSize="0" autoLine="0" r:id="rId4">
            <anchor moveWithCells="1">
              <from>
                <xdr:col>0</xdr:col>
                <xdr:colOff>38100</xdr:colOff>
                <xdr:row>0</xdr:row>
                <xdr:rowOff>45720</xdr:rowOff>
              </from>
              <to>
                <xdr:col>9</xdr:col>
                <xdr:colOff>152400</xdr:colOff>
                <xdr:row>21</xdr:row>
                <xdr:rowOff>129540</xdr:rowOff>
              </to>
            </anchor>
          </controlPr>
        </control>
      </mc:Choice>
      <mc:Fallback>
        <control shapeId="6147" r:id="rId3" name="Label1"/>
      </mc:Fallback>
    </mc:AlternateContent>
    <mc:AlternateContent xmlns:mc="http://schemas.openxmlformats.org/markup-compatibility/2006">
      <mc:Choice Requires="x14">
        <control shapeId="6151" r:id="rId5" name="Label2">
          <controlPr defaultSize="0" autoLine="0" autoPict="0" r:id="rId6">
            <anchor moveWithCells="1">
              <from>
                <xdr:col>9</xdr:col>
                <xdr:colOff>541020</xdr:colOff>
                <xdr:row>0</xdr:row>
                <xdr:rowOff>60960</xdr:rowOff>
              </from>
              <to>
                <xdr:col>19</xdr:col>
                <xdr:colOff>350520</xdr:colOff>
                <xdr:row>20</xdr:row>
                <xdr:rowOff>152400</xdr:rowOff>
              </to>
            </anchor>
          </controlPr>
        </control>
      </mc:Choice>
      <mc:Fallback>
        <control shapeId="6151" r:id="rId5" name="Label2"/>
      </mc:Fallback>
    </mc:AlternateContent>
    <mc:AlternateContent xmlns:mc="http://schemas.openxmlformats.org/markup-compatibility/2006">
      <mc:Choice Requires="x14">
        <control shapeId="6156" r:id="rId7" name="Image1">
          <controlPr defaultSize="0" autoLine="0" r:id="rId8">
            <anchor moveWithCells="1">
              <from>
                <xdr:col>17</xdr:col>
                <xdr:colOff>556260</xdr:colOff>
                <xdr:row>16</xdr:row>
                <xdr:rowOff>22860</xdr:rowOff>
              </from>
              <to>
                <xdr:col>18</xdr:col>
                <xdr:colOff>594360</xdr:colOff>
                <xdr:row>20</xdr:row>
                <xdr:rowOff>91440</xdr:rowOff>
              </to>
            </anchor>
          </controlPr>
        </control>
      </mc:Choice>
      <mc:Fallback>
        <control shapeId="6156" r:id="rId7" name="Image1"/>
      </mc:Fallback>
    </mc:AlternateContent>
    <mc:AlternateContent xmlns:mc="http://schemas.openxmlformats.org/markup-compatibility/2006">
      <mc:Choice Requires="x14">
        <control shapeId="6157" r:id="rId9" name="Image2">
          <controlPr defaultSize="0" autoLine="0" r:id="rId10">
            <anchor moveWithCells="1">
              <from>
                <xdr:col>8</xdr:col>
                <xdr:colOff>190500</xdr:colOff>
                <xdr:row>16</xdr:row>
                <xdr:rowOff>22860</xdr:rowOff>
              </from>
              <to>
                <xdr:col>9</xdr:col>
                <xdr:colOff>228600</xdr:colOff>
                <xdr:row>21</xdr:row>
                <xdr:rowOff>22860</xdr:rowOff>
              </to>
            </anchor>
          </controlPr>
        </control>
      </mc:Choice>
      <mc:Fallback>
        <control shapeId="6157" r:id="rId9" name="Image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Test1</vt:lpstr>
      <vt:lpstr>Test2</vt:lpstr>
      <vt:lpstr>Test3</vt:lpstr>
      <vt:lpstr>Test4</vt:lpstr>
      <vt:lpstr>Test5</vt:lpstr>
      <vt:lpstr>Test6</vt:lpstr>
      <vt:lpstr>Test7</vt:lpstr>
      <vt:lpstr>Test8</vt:lpstr>
      <vt:lpstr>Test9</vt:lpstr>
      <vt:lpstr>Test10</vt:lpstr>
      <vt:lpstr>Test11</vt:lpstr>
      <vt:lpstr>Test12</vt:lpstr>
      <vt:lpstr>Test13</vt:lpstr>
      <vt:lpstr>Test14</vt:lpstr>
      <vt:lpstr>Test15</vt:lpstr>
      <vt:lpstr>Test16</vt:lpstr>
      <vt:lpstr>Test17</vt:lpstr>
      <vt:lpstr>Test18</vt:lpstr>
      <vt:lpstr>Test19</vt:lpstr>
      <vt:lpstr>Test20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Руслан</dc:creator>
  <cp:lastModifiedBy>Кирилл Ким</cp:lastModifiedBy>
  <dcterms:created xsi:type="dcterms:W3CDTF">2010-12-25T10:03:47Z</dcterms:created>
  <dcterms:modified xsi:type="dcterms:W3CDTF">2026-04-08T12:59:26Z</dcterms:modified>
</cp:coreProperties>
</file>